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k Matrix" sheetId="1" r:id="rId5"/>
  </sheets>
  <definedNames/>
  <calcPr/>
</workbook>
</file>

<file path=xl/sharedStrings.xml><?xml version="1.0" encoding="utf-8"?>
<sst xmlns="http://schemas.openxmlformats.org/spreadsheetml/2006/main" count="845" uniqueCount="312">
  <si>
    <t>Impact</t>
  </si>
  <si>
    <t>Legend</t>
  </si>
  <si>
    <t>Minimal</t>
  </si>
  <si>
    <t>Minor</t>
  </si>
  <si>
    <t>Moderate</t>
  </si>
  <si>
    <t>Significant</t>
  </si>
  <si>
    <t>Critical</t>
  </si>
  <si>
    <t>Risk</t>
  </si>
  <si>
    <t>Rating /25</t>
  </si>
  <si>
    <t>Very Low</t>
  </si>
  <si>
    <t xml:space="preserve">     Probability</t>
  </si>
  <si>
    <t>Rare</t>
  </si>
  <si>
    <t>Low</t>
  </si>
  <si>
    <t>Unlikely</t>
  </si>
  <si>
    <t>Medium</t>
  </si>
  <si>
    <t>High</t>
  </si>
  <si>
    <t>Likely</t>
  </si>
  <si>
    <t>Very High</t>
  </si>
  <si>
    <t>15-16</t>
  </si>
  <si>
    <t>Almost Certain</t>
  </si>
  <si>
    <t>Extreme</t>
  </si>
  <si>
    <t>20-25</t>
  </si>
  <si>
    <t>Probability</t>
  </si>
  <si>
    <t>Score</t>
  </si>
  <si>
    <t>Definition</t>
  </si>
  <si>
    <t>Probability Range</t>
  </si>
  <si>
    <t>Event is highly likely to occur (&gt;80%).</t>
  </si>
  <si>
    <t>Event is probable (50–80%).</t>
  </si>
  <si>
    <t>Possible</t>
  </si>
  <si>
    <t>Event may occur (20–50%).</t>
  </si>
  <si>
    <t>Event is improbable (1–20%).</t>
  </si>
  <si>
    <t>Event is very improbable (&lt;1%).</t>
  </si>
  <si>
    <t>Impact on Mission Objectives</t>
  </si>
  <si>
    <t>Total loss of mission/payload. Unrecoverable.</t>
  </si>
  <si>
    <t>Major loss of science data or significant schedule/cost overrun (&gt;3 months).</t>
  </si>
  <si>
    <t>Minor loss of data or moderate schedule/cost impact (1–3 months).</t>
  </si>
  <si>
    <t>Recoverable impact with minimal cost/schedule effect.</t>
  </si>
  <si>
    <t>No measurable impact on mission success.</t>
  </si>
  <si>
    <t>Category Code</t>
  </si>
  <si>
    <t>Meaning</t>
  </si>
  <si>
    <t>Risks</t>
  </si>
  <si>
    <t>Rationale</t>
  </si>
  <si>
    <t>TECH</t>
  </si>
  <si>
    <t>Technical</t>
  </si>
  <si>
    <t>R-TECH-05, R-TECH-06, R-TECH-03</t>
  </si>
  <si>
    <t>These relate to the performance, design, or verification of hardware (ZES board, COTS components) or software (data integrity).</t>
  </si>
  <si>
    <t>SCHED</t>
  </si>
  <si>
    <t>Schedule</t>
  </si>
  <si>
    <t>R-SCHED-03</t>
  </si>
  <si>
    <t>This relates to external dependencies or process failures that threaten the project timeline (Magnetometer NDA delay).</t>
  </si>
  <si>
    <t>SAFETY</t>
  </si>
  <si>
    <t>Safety</t>
  </si>
  <si>
    <t>R-SAFETY-01</t>
  </si>
  <si>
    <t>This relates to hazards that threaten personnel, flight hardware, or the environment (Li-ion battery thermal runaway).</t>
  </si>
  <si>
    <t>OP</t>
  </si>
  <si>
    <t>Operational</t>
  </si>
  <si>
    <t>R-OP-01</t>
  </si>
  <si>
    <t>This relates to failures that occur during on-orbit operations (data buffer corruption).</t>
  </si>
  <si>
    <t>Risk ID</t>
  </si>
  <si>
    <t>Risk Statement (Summary)</t>
  </si>
  <si>
    <t>Required Closure Criteria (When does the risk end?)</t>
  </si>
  <si>
    <t>Pending Magnetometer NDA and Pinout Data.</t>
  </si>
  <si>
    <t>The Magnetometer ICD is formally baselined (V1.0), signed by the supplier, and the final harness design is released to manufacturing.</t>
  </si>
  <si>
    <t>Li-ion Battery thermal runaway during integration.</t>
  </si>
  <si>
    <t>The Battery Protection Circuit (BPC) is verified to function in all failure modes, and the Safety Review Board approves the final Li-ion Handling Procedure.</t>
  </si>
  <si>
    <t>R-TECH-06</t>
  </si>
  <si>
    <t>Untested Core Software Integrity (Checksum/Timestamping).</t>
  </si>
  <si>
    <t>The flight software core (Checksum, Timestamping, Data Validation) passes all formal unit tests and the System Engineer signs off on the V&amp;V Matrix completion for these requirements.</t>
  </si>
  <si>
    <t>R-TECH-05</t>
  </si>
  <si>
    <t>Single Event Latchup (SEL) in ZES COTS Processor.</t>
  </si>
  <si>
    <t>The SEL Protection Circuit (current limiting/power cycling) is built, tested on a prototype board, and confirmed to successfully reboot the ZES board during a simulated over-current event.</t>
  </si>
  <si>
    <t>#1</t>
  </si>
  <si>
    <t>Category</t>
  </si>
  <si>
    <t>Risk Statement</t>
  </si>
  <si>
    <t>If the NDA with the Magnetometer supplier is not finalized, and key interface details remain pending, then the team cannot finalize the detailed ICD, harness design, or begin required environmental testing (RQ-011, RQ-012), leading to a significant slip in the overall payload integration schedule.</t>
  </si>
  <si>
    <t>Likelihood (1-5)</t>
  </si>
  <si>
    <t>4 (Likely)</t>
  </si>
  <si>
    <t>Consequence (1-5)</t>
  </si>
  <si>
    <t>4 (Significant)</t>
  </si>
  <si>
    <t>Risk Score (L x C)</t>
  </si>
  <si>
    <t>16 (Very High)</t>
  </si>
  <si>
    <t>Residual Likelihood (1-5)</t>
  </si>
  <si>
    <t>Residual Consequence (1-5)</t>
  </si>
  <si>
    <t>Residual Score (L x C)</t>
  </si>
  <si>
    <t>Mitigation Plan</t>
  </si>
  <si>
    <t>1. Executive Action: Program Manager to prioritize direct communication to finalize the NDA (Target: Mid-November 2025). 2. Parallel Design: Continue harness design using the confirmed 3.3 V I²C protocol and best-guess connector estimates to avoid blocking mechanical design.</t>
  </si>
  <si>
    <t>Contingency Plan</t>
  </si>
  <si>
    <t>Execute the "Drop Scope" plan: Drop the Magnetometer payload functionality to save an estimated 8 weeks of schedule, proceeding with the core Accelerometer (ADXL355) science mission.</t>
  </si>
  <si>
    <t>Requirements Linkage</t>
  </si>
  <si>
    <t>Directly jeopardizes ICD 1.0 Baselining and final verification items RQ-011 (Magnetometer Data Quality) and RQ-012 (Payload-to-Bus Comm Protocol).</t>
  </si>
  <si>
    <t>Schedule Linkage</t>
  </si>
  <si>
    <t>Directly delays the start of System Integration and jeopardizes the CDR Data Freeze required by the SDSI.</t>
  </si>
  <si>
    <t>Owner</t>
  </si>
  <si>
    <t>SDSI</t>
  </si>
  <si>
    <t>Trigger</t>
  </si>
  <si>
    <t>NDA is not executed, OR Pinout/ICD data is not delivered by the end of the year.</t>
  </si>
  <si>
    <t>Status</t>
  </si>
  <si>
    <t>Mitigating</t>
  </si>
  <si>
    <t>#2</t>
  </si>
  <si>
    <t>Technical / Software</t>
  </si>
  <si>
    <t>If the flight software core responsible for data integrity functions (e.g., Checksum Generation 4.3 and Payload Timestamping 8.1) is not fully prototyped and tested, then the received science data products will be corrupted or untraceable, leading to severe inability to fulfill scientific objectives.</t>
  </si>
  <si>
    <t>3 (Possible)</t>
  </si>
  <si>
    <t>3 (Moderate)</t>
  </si>
  <si>
    <t>9 (Medium)</t>
  </si>
  <si>
    <t>1. Code Freeze: Implement a freeze on the core functional requirements. 2. Critical Path Development: Prioritize writing and testing the core ZES flight software modules for Timestamping (8.1) and Checksum Generation (4.3) on the bench prototype.</t>
  </si>
  <si>
    <t>Discard all data packets that fail the ground-based CRC validation. Command the FSW to revert to the previous, verified version of the data handler stored in flash memory.</t>
  </si>
  <si>
    <t>Directly threatens FR 4.3 (Checksum Integrity) and FR 8.1 (Payload Timestamping Accuracy).</t>
  </si>
  <si>
    <t>Delays completion of Software V&amp;V and forces postponement of the Full Data Pipeline Test</t>
  </si>
  <si>
    <t>SDSU Hardware Team</t>
  </si>
  <si>
    <t>The V&amp;V matrix is reviewed, and any critical functional requirement marked for 'Test' or 'Demonstration' is not supported by a working code module.</t>
  </si>
  <si>
    <t>#3</t>
  </si>
  <si>
    <t>R-SCHED-02</t>
  </si>
  <si>
    <t>Technical / Programmatic</t>
  </si>
  <si>
    <t>If the required Interface Control Documents (ICDs) lack critical details (e.g., pinout diagrams, final mechanical drawings) and the Verification &amp; Validation (V&amp;V) matrix remains incomplete, then the design maturity will be insufficient, leading to critical delays in the start of the CDR prototype build and integration.</t>
  </si>
  <si>
    <t>2 (Unlilely)</t>
  </si>
  <si>
    <t>6 (Medium)</t>
  </si>
  <si>
    <t>1. Dedicated Sprint: Assign a dedicated team for the next week to solely address all ICD comments (as per ZES Memo) and finalize the pin-to-pin mapping, mechanical drawings, and V&amp;V Matrix. 2. Configuration Control: Formally baseline and place all ICDs under change control immediately.</t>
  </si>
  <si>
    <t>Reduce scope: Proceed with CDR using only the baselined ICDs (e.g., ADXL355) and schedule a formal mini-review 4 weeks later specifically for the delayed Magnetometer ICD.</t>
  </si>
  <si>
    <t>Directly threatens System Requirement 10.1 (Document Configuration Control) and All ICDs.</t>
  </si>
  <si>
    <t>Delays the ICD Formal Sign-Off and subsequently pushes the start of CDR Hardware Prototyping.</t>
  </si>
  <si>
    <t>SDSU Software Team</t>
  </si>
  <si>
    <t>Internal review of the ICD package confirms a key section (pinouts, V&amp;V, mechanicals) is still missing or inaccurate.</t>
  </si>
  <si>
    <t>#4</t>
  </si>
  <si>
    <t>R-EXT-12</t>
  </si>
  <si>
    <t>Technical / Hardware</t>
  </si>
  <si>
    <t>If the specific launch provider remains unconfirmed, then the satellite may be subjected to environmental loads (vibration, acoustic, thermal) that exceed current design margins, leading to structural failure during ascent.</t>
  </si>
  <si>
    <t>2 (Unlikely)</t>
  </si>
  <si>
    <t>8 (Medium)</t>
  </si>
  <si>
    <t>Adopt a "Maximum Envelope" design approach: utilize the most rigorous GEVS (General Environmental Verification Standard) levels for all structural and thermal modeling. Design the mechanical stack to withstand the worst-case vibration profiles of all potential 1U/3U launch dispensers.</t>
  </si>
  <si>
    <t>Perform a rapid "Delta-Design" review once the launcher is officially baselined to adjust damping materials or thermal insulation before final fabrication.</t>
  </si>
  <si>
    <t>NR-Vibe-001 (Structural Integrity), NR-Mass-001</t>
  </si>
  <si>
    <t>Structural Analysis &amp; Thermal Modeling</t>
  </si>
  <si>
    <t>SDSU Team / SJSU</t>
  </si>
  <si>
    <t>Baseline of a launch provider with a Coupled Loads Analysis (CLA) or User Manual specifications that exceed the current "Maximum Envelope" design limits.</t>
  </si>
  <si>
    <t>Active</t>
  </si>
  <si>
    <t>#5</t>
  </si>
  <si>
    <t>R-TECH-10</t>
  </si>
  <si>
    <t>If flight software logic fails or encounters an unhandled exception during critical operations, then the On-Board Computer (OBC) may freeze, leading to a loss of attitude control and payload command capability.</t>
  </si>
  <si>
    <t>Utilize deterministic interrupts for timing-critical tasks. Perform comprehensive, long-duration "burn-in" software stress tests to identify race conditions or memory leaks before flight.</t>
  </si>
  <si>
    <t>Implement an autonomous Hardware Watchdog Timer that triggers a full system reboot if the main software loop fails to pulse the "heartbeat" within 5 seconds.</t>
  </si>
  <si>
    <t>NR-SW-001 (Software Reliability), NR-OBC-002</t>
  </si>
  <si>
    <t>Software Flight Code Freeze &amp; V&amp;V Testing.</t>
  </si>
  <si>
    <t>The Hardware Watchdog Timer (WDT) initiates a system reset or the OBC fails to acknowledge a ground station command heartbeat.</t>
  </si>
  <si>
    <t>Monitoring</t>
  </si>
  <si>
    <t>#6</t>
  </si>
  <si>
    <t>R-TECH-11</t>
  </si>
  <si>
    <t>If electromagnetic interference (EMI) from high-power radio transmissions or noisy switching regulators causes cross-talk, then mission-critical data signals (ZES/RILA) may be corrupted or lost.</t>
  </si>
  <si>
    <t>4 (Likey)</t>
  </si>
  <si>
    <t>16 ( Very High)</t>
  </si>
  <si>
    <t>Apply NR-series shielding and grounding protocols; verify signal integrity via early bench-top EMI testing. Use twisted-pair wiring for data lines and ensure separate power/signal ground planes on all PCBs.</t>
  </si>
  <si>
    <t>Implement on-board data filtering (Ferrite beads) and software-level error correction codes (ECC) to recover corrupted telemetry packets.</t>
  </si>
  <si>
    <t>NR-EMI-001 (Electromagnetic Compatibility Standards)</t>
  </si>
  <si>
    <t>Integrated System Bench-top EMI/EMC Verification</t>
  </si>
  <si>
    <t>Telemetry reports a Bit Error Rate (BER) exceeding the 10⁻⁶ threshold during radio transmission cycles.</t>
  </si>
  <si>
    <t>#7</t>
  </si>
  <si>
    <t>If a Single Event Latchup (SEL) occurs in the ZES ZSOM-M01 COTS processor (unhardened for LEO at 500 km altitude), then the device will experience a high-current state, leading to permanent destruction of the board and total payload loss.</t>
  </si>
  <si>
    <t>5 (Critical)</t>
  </si>
  <si>
    <t>15 (Very High)</t>
  </si>
  <si>
    <t>1. Active Protection: Implement a hardware power-cycling circuit with current limiting to autonomously remove power if an over-current condition (SEL) is detected. 2. Operational: Configure the OBC to monitor ZES current and health status and perform a remote power-cycle upon anomaly detection.</t>
  </si>
  <si>
    <t>If the SEL is unrecoverable, activate the redundant ZES board and command the bus to switch the payload power path to the backup. Lead Time: Full switch and data restoration within 48 hours.</t>
  </si>
  <si>
    <t>Threatens FR 2.1 (Power System Stability) and FR 5.3 (ZES Autonomous Safing).</t>
  </si>
  <si>
    <t>Delays verification of the SEL Mitigation Circuit and forces postponement of Bus/Payload Integration until the circuit is tested.</t>
  </si>
  <si>
    <t>Completion of ZES board layout/design review confirms lack of radiation-tolerant processor selection.</t>
  </si>
  <si>
    <t>#8</t>
  </si>
  <si>
    <t>R-EXT-10</t>
  </si>
  <si>
    <t>If high-energy random vibration or acoustic loads during launch exceed the structural limits of the PC/104 stack, then the satellite may experience mechanical fatigue, fastener backing, or board-level connector failure.</t>
  </si>
  <si>
    <t>1 (Rare)</t>
  </si>
  <si>
    <t>5 (Medium)</t>
  </si>
  <si>
    <t>Use locking fasteners (Nyloc/Loctite) and vibration isolators between stack layers. Perform Sine-Sweep and Random Vibration testing at an SDSI-approved facility to verify the "mechanical stack height" design.</t>
  </si>
  <si>
    <t>Implement "staking" (epoxy) on all critical high-mass components (capacitors/inductors) and double-torque all structural fasteners before integration.</t>
  </si>
  <si>
    <t>NR-Vibe-001 (Structural Integrity Standards)</t>
  </si>
  <si>
    <t>Environmental Verification Testing (EVT) phase (Milestone: Pre-CDR)</t>
  </si>
  <si>
    <t>SDSU Team</t>
  </si>
  <si>
    <t>Visual evidence of structural deformation or electrical continuity loss during pre-flight shake tests.</t>
  </si>
  <si>
    <t>#9</t>
  </si>
  <si>
    <t>R-TEST-01</t>
  </si>
  <si>
    <t>Technical / Testing</t>
  </si>
  <si>
    <t>If the assembled ZES and Rila boards fail the Vibration Test (RQ-011) or the Vacuum Test (RQ-012) due to an unverified mechanical interface, then significant structural redesign and re-work will be required, leading to a major schedule slip and cost overrun.</t>
  </si>
  <si>
    <t>12 (High)</t>
  </si>
  <si>
    <t>1. Early Analysis: Before testing, complete a Finite Element Analysis (FEA) for the mechanical mount points of the ZES board and sensors to predict stress failure under vibration (RQ-011). 2. Thermal Vacuum (TVAC) Pre-Check: Verify all COTS components (ZES, connectors, harnesses) are rated for the required thermal and vacuum range before final assembly (per ICD 6.5).</t>
  </si>
  <si>
    <t>Perform a Non-Conformance Review (NCR). Authorize an emergency 3-week sprint for mechanical redesign and COTS component re-procurement, followed by an immediate re-test.</t>
  </si>
  <si>
    <t>Directly threatens FR 3.1 (Structural Integrity) and PD-011 (Payload Survival During LEOP).</t>
  </si>
  <si>
    <t>Delays the Environmental Test Campaign (Target: Feb 1) and jeopardizes the CDR milestone.</t>
  </si>
  <si>
    <t>SJSU</t>
  </si>
  <si>
    <t>#10</t>
  </si>
  <si>
    <t>R-TECH-02</t>
  </si>
  <si>
    <t>Technical / Interface</t>
  </si>
  <si>
    <t>If the high-speed RS-422 interface between the Rila Dosimeter and the ZES board experiences intermittent Signal Integrity (SI) issues or noise (EMI/EMC), then crucial spectral data packets will be lost or corrupted, leading to a major reduction in scientific data return.</t>
  </si>
  <si>
    <t>2 (Minor)</t>
  </si>
  <si>
    <t>4 (Low)</t>
  </si>
  <si>
    <t>1. Protocol Verification: Implement and test a checksum/CRC on the Rila-ZES data packets to detect corruption (Functional Requirement 4.3). 2. EMI Shielding: Use twisted pair shielded cable for the RS-422 interface and ensure proper chassis grounding per the SEMP's Cabling &amp; Support section.</t>
  </si>
  <si>
    <t>Accept reduced science data accuracy (e.g., Accuracy &lt;= 10% instead of 5%), and downlink only raw data for extensive post-processing ground correction.</t>
  </si>
  <si>
    <t>Directly threatens Science Requirement SR-001 (Accuracy of Payload Data &lt;= 5%) and FR 7.1 (On-Orbit Calibration Routine).</t>
  </si>
  <si>
    <t>Delays the Final Calibration Test and forces the FSW team to spend time writing and verifying a new correction algorithm.</t>
  </si>
  <si>
    <t>#11</t>
  </si>
  <si>
    <t>R-OP-02</t>
  </si>
  <si>
    <t>Operational / Performance</t>
  </si>
  <si>
    <t>If the ZES processor is commanded into High-Activity Mode (9.4) while simultaneously executing complex data validation, then the CPU usage will reach 100%, causing the Payload Timestamping (8.1) and other critical functions to lag or fail, leading to data loss or untraceable science products.</t>
  </si>
  <si>
    <t>1. Throughput Test: Perform a stress test on the ZES prototype under maximum data load (Rila + Magnetometer + Accelerometer) to measure the CPU usage margin. 2. Operational Guardrails: Implement a mode manager (Functional Requirement 9.1) in the flight software that limits the initiation of High-Activity Mode based on the current CPU load.</t>
  </si>
  <si>
    <t>If the FSW Triage Mode fails to clear the buffer, activate the Payload Safing Function (per ConOps), forcing ZES into the Sleep Mode to halt data generation until the buffer is cleared.</t>
  </si>
  <si>
    <t>Directly threatens FR 5.4 (Data Storage Capacity) and FR 1.1 (Mission Data Retrieval Success Rate).</t>
  </si>
  <si>
    <t>Delays Data Handling V&amp;V and forces a pause in High-Activity Science Mode Testing.</t>
  </si>
  <si>
    <t>The On-board computer (OBC) detects that the CPU usage (utilization) is greater than 90% for more than 60 seconds, or the battery voltage drops below the "Safe Mode" threshold.</t>
  </si>
  <si>
    <t>#12</t>
  </si>
  <si>
    <t>R-EXT-05</t>
  </si>
  <si>
    <t>External</t>
  </si>
  <si>
    <t>If environmental perturbations (e.g., atmospheric drag, solar pressure) cause a loss of satellite orientation, then the payload may fail to generate sufficient power or lose the S-band communication link to ground.</t>
  </si>
  <si>
    <t>1. Implement autonomous NR-series Safe Mode triggers that automatically shed payload loads and prioritize nadir-pointing for power stabilization; 2. Pre-program Reaction Wheel desaturation cycles and Magnetic Torquer authority to counteract orbital drag.</t>
  </si>
  <si>
    <t>Initiate Iridium backup beacon if S-band link cannot be re-established within two orbital periods. Force "Tumble Recovery" mode to use Sun Sensors for emergency solar panel orientation.</t>
  </si>
  <si>
    <t>NR-Safe-Mode-001 (Safe Mode Activation). NR-Power-002 (Power Generation Constraints).</t>
  </si>
  <si>
    <t>ADCS (Attitude Determination and Control System) software algorithm verification (Milestone: Pre-CDR).</t>
  </si>
  <si>
    <t>SDSU Team / SJSU (Software)</t>
  </si>
  <si>
    <t>On-board computer (OBC) detects attitude error &gt; 10° for more than 60 seconds or battery voltage dropping below the "Safe Mode" threshold.</t>
  </si>
  <si>
    <t>In Progress</t>
  </si>
  <si>
    <t>#13</t>
  </si>
  <si>
    <t>Safety/Hardware</t>
  </si>
  <si>
    <t>f the Li-ion battery is mishandled, overcharged, or short-circuited during integration or environmental testing, then it could enter thermal runaway, leading to injury to personnel, fire damage, and destruction of the flight hardware.</t>
  </si>
  <si>
    <t>10 (High)</t>
  </si>
  <si>
    <t>1.  Design: Use an off-the-shelf, flight-qualified Battery Protection Circuit (BPC) with redundant over-current and over-voltage protection. 2.  Procedure: Develop, sign, and post Battery Handling and Charging Procedures and require all personnel to read them.</t>
  </si>
  <si>
    <t>Immediately follow the Fire and Emergency Handling Procedure (FE 2.1): evacuate the lab, use the specified Class D extinguisher, and report to the Safety Officer.</t>
  </si>
  <si>
    <t>Directly threatens Safety Requirement SR 1.1 (Battery Protection Circuit Function) and SR 1.2 (Handling Procedure Compliance).</t>
  </si>
  <si>
    <t>Halts all Phase Integration activities until the cause is determined and the battery is replaced.</t>
  </si>
  <si>
    <t>The first time the battery is integrated with the ZES board before any environmental test (Vibration/Vacuum).</t>
  </si>
  <si>
    <t>#14</t>
  </si>
  <si>
    <t>R-EXT-06</t>
  </si>
  <si>
    <t>If the S-band downlink or beacon behavior is interrupted by hardware failure or environmental interference, then the mission will experience a total loss of science data and health telemetry.</t>
  </si>
  <si>
    <t>Utilize a secondary Iridium beacon for low-bandwidth health telemetry to provide redundancy for the primary S-band link. Program autonomous recovery timers into the On-Board Computer (OBC) to reset the radio subsystem if a ground heartbeat is not detected within a defined window.</t>
  </si>
  <si>
    <t>Implement an autonomous Safe Mode transition that prioritizes antenna orientation toward ground stations to re-establish the link. Use ground-based diagnostic pings to trigger a hard reset of the communication stack.</t>
  </si>
  <si>
    <t>NR-series: Safe Mode (Safe Mode transition logic). RQ-series (Telemetry and Downlink constraints).</t>
  </si>
  <si>
    <t>Communication subsystem stress testing</t>
  </si>
  <si>
    <t>Loss of S-band signal for more than three consecutive orbital passes.</t>
  </si>
  <si>
    <t>#15</t>
  </si>
  <si>
    <t>R-EXT-07</t>
  </si>
  <si>
    <t>External / Environmental</t>
  </si>
  <si>
    <t>If the satellite enters a 30-minute eclipse (shadow) phase while in a low power state, then the lack of solar energy may prevent heaters from maintaining the RILA and Magnetometer above their minimum survival temperatures, leading to permanent hardware cracking.</t>
  </si>
  <si>
    <t>Implement autonomous NR-series Safe Mode power-shedding logic to disable all non-essential payload rails (RILA/ZES) and prioritize battery energy for internal survival heaters. Utilize Multi-Layer Insulation (MLI) blankets and passive thermal coatings to reduce the rate of heat loss during the eclipse.</t>
  </si>
  <si>
    <t>Pre-program "Survival Mode" into the OBC that triggers a hard power-down of all systems except the heaters and basic telemetry if the temperature drops within 5° C of the survival limit.</t>
  </si>
  <si>
    <t>NR-Safe-Mode-001 (Autonomous Transition). NR-Thermal-003 (Survival Temperature Constraints).</t>
  </si>
  <si>
    <t>Thermal Vacuum (TVAC) testing and thermal modeling verification.</t>
  </si>
  <si>
    <t>Internal temperature sensors on the ZES or Battery stack report values below 0° C while in the shadow phase.</t>
  </si>
  <si>
    <t>Planned</t>
  </si>
  <si>
    <t>#16</t>
  </si>
  <si>
    <t>R-EXT-09</t>
  </si>
  <si>
    <t>If ionospheric interference or GPS signal loss causes a drift in the system clock, then the RILA and Magnetometer data packets will lack accurate time-correlation, rendering the science data unusable for analysis.</t>
  </si>
  <si>
    <t>3 (Low)</t>
  </si>
  <si>
    <t>Implementation of an Independent RTC (Real-Time Clock) holdover circuit on the ZES board. This provides a stable internal reference that maintains sub-millisecond accuracy even during temporary GPS outages.</t>
  </si>
  <si>
    <t>Use ground-station "time-tagging" upon packet reception to back-calculate and re-sync the drift during post-processing if the on-board RTC fails.</t>
  </si>
  <si>
    <t>NR-Timing-001 (Data Correlation Requirements)</t>
  </si>
  <si>
    <t>Timing Logic &amp; Handshake Verification</t>
  </si>
  <si>
    <t>The difference between the GPS-synced time and the internal RTC reference exceeds the 50ms tolerance threshold.</t>
  </si>
  <si>
    <t>#17</t>
  </si>
  <si>
    <t>R-SCHED-04</t>
  </si>
  <si>
    <t>If a critical COTS component (e.g., ZES spare, RILA analog part) becomes obsolete or incurs a  &gt;= 4-month shipping delay, then the final integration schedule will slip.</t>
  </si>
  <si>
    <t>1. Buy-Ahead: Secure procurement and order of all long-lead spare items (e.g., ZES spare board) immediately. 2. Component Selection: Maintain a list of pre-approved, drop-in replacement components (second sourcing).</t>
  </si>
  <si>
    <t>Initiate Fast-Track Procurement for the specific, pre-approved drop-in alternative component (e.g., Analog Chip Model XYZ). Estimated delay: 6 weeks (for re-spin and re-test).</t>
  </si>
  <si>
    <t>Threatens Program Requirement PR 1.1 (Critical Component Availability).</t>
  </si>
  <si>
    <t>Directly delays Final Assembly and jeopardizes the Integration Readiness Review (IRR).</t>
  </si>
  <si>
    <t>The procurement office reports a lead time of &gt; 12 weeks for a critical component.</t>
  </si>
  <si>
    <t>#18</t>
  </si>
  <si>
    <t>R-PROG-02</t>
  </si>
  <si>
    <t>Programmatic</t>
  </si>
  <si>
    <t>If procurement of the redundant (spare) ZES board is not finalized before the start of high-stress environmental testing, then a failure of the primary board during testing will result in a stop-work order and critical delay.</t>
  </si>
  <si>
    <t>1. Mandatory Go/No-Go Gate: Institute a Configuration Control Board (CCB) mandate that Environmental Testing cannot begin until the ZES spare board is physically on the premises.</t>
  </si>
  <si>
    <t>Execute a Stop-Work Order on all payload testing. Authorize emergency procurement of a new ZES board with a 12-week estimated lead time.</t>
  </si>
  <si>
    <t>Threatens Program Requirement PR 2.1 (Redundancy Requirements for Critical Components).</t>
  </si>
  <si>
    <t>Will force a Stop-Work Order on Environmental Testing (Target: Feb 1), delaying all downstream integration.</t>
  </si>
  <si>
    <t>The integration lead attempts to schedule the first vibration test (R-TEST-01) without confirming the spare board's receipt.</t>
  </si>
  <si>
    <t>#19</t>
  </si>
  <si>
    <t>R-PROG-01</t>
  </si>
  <si>
    <t>If restricted access to university labs (due to finals/holidays) prevents the team from utilizing key test equipment (e.g., thermal chamber, vibration table) during a critical test window, then the integration schedule will slip &gt;= 1 month.</t>
  </si>
  <si>
    <t>1 (Minimal)</t>
  </si>
  <si>
    <t>2 (Very Low)</t>
  </si>
  <si>
    <t>1. Proactive Scheduling: Immediately reserve all critical test facilities (thermal chamber, vibration table) for the January/February timeline. 2. Flexible Test Plan: Identify critical tests that can be run on the bench to maintain momentum.</t>
  </si>
  <si>
    <t>Rent alternative test facilities (e.g., local commercial thermal-vac chamber). Cost: Transfer $\$10,000$ from the contingency budget line to cover the rental cost.</t>
  </si>
  <si>
    <t>Threatens Program Requirement PR 3.1 (Timely Utilization of Test Facilities).</t>
  </si>
  <si>
    <t>Shifts Thermal-Vacuum Testing (Target: Feb 15) and delays the release of the final Test Readiness Review (TRR) documentation.</t>
  </si>
  <si>
    <t>The official university finals week schedule is released, or facility management confirms non-availability of a critical piece of equipment.</t>
  </si>
  <si>
    <t>#20</t>
  </si>
  <si>
    <t>R-EXT-11</t>
  </si>
  <si>
    <t>If prolonged exposure to Atomic Oxygen (AO) in Low Earth Orbit (LEO) causes the erosion of external polymers (like Kapton) or sensor coatings, then the satellite may suffer structural degradation or total instrument failure.</t>
  </si>
  <si>
    <t>nsure all external materials are selected per NASA low-outgassing and AO-resistance standards. Utilize AO-resistant thin-film coatings on sensitive external surfaces.</t>
  </si>
  <si>
    <t>Apply secondary AO-resistant shielding or "sacrificial" layers to non-critical structural components to extend operational lifespan.</t>
  </si>
  <si>
    <t>NR-Material-001 (LEO Environmental Compatibility)</t>
  </si>
  <si>
    <t>Material selection audit and external surface inspection</t>
  </si>
  <si>
    <t>Visual evidence of material "clouding" or erosion of Multi-Layer Insulation (MLI) observed via on-board telemetry photos or drop in sensor sensitivity</t>
  </si>
  <si>
    <t>#21</t>
  </si>
  <si>
    <t>R-OP-03</t>
  </si>
  <si>
    <t>Operational / External</t>
  </si>
  <si>
    <t>Split into Current, Launch, and Space risks</t>
  </si>
  <si>
    <t>If the spacecraft is hit by a piece of orbital debris or a micrometeoroid in LEO, then the resulting impact will breach the structure and potentially sever the main power bus, leading to a total loss of the payload.</t>
  </si>
  <si>
    <t>2 of each for a total of 6 risks</t>
  </si>
  <si>
    <t>1. Shielding: Rely on the host 3U CubeSat structure for basic shielding against debris (Whipple Shielding principle). 2. Structure: Place critical components (ZES, Rila) as close to the center of the structure as possible to maximize protection from the outer walls.</t>
  </si>
  <si>
    <t>Report the catastrophic failure to the ground station. Terminate the mission segment for that specific satellite. (No feasible on-board contingency.)</t>
  </si>
  <si>
    <t>Directly threatens Mission Success Requirement MSR 1.1 (Total Mission Loss) and De-orbit Compliance.</t>
  </si>
  <si>
    <t>N/A (Catastrophic failure - terminates mission).</t>
  </si>
  <si>
    <t>Ground tracking reports a Non-Maneuvering Conjunction with a high Probability of Collision in the 72-hour prediction window.</t>
  </si>
  <si>
    <t>#22</t>
  </si>
  <si>
    <t>R-EXT-08</t>
  </si>
  <si>
    <t>If orbital debris impacts the satellite, then physical damage to exposed data links or solar cells may cause a partial or total loss of mission capability.</t>
  </si>
  <si>
    <t>Centralized component shielding within the mechanical stack; minimize external wire runs and use protective conduit to reduce impact cross-section.</t>
  </si>
  <si>
    <t>Redundant routing of critical data paths; utilize secondary solar string if a primary string is severed by impact.</t>
  </si>
  <si>
    <t>NR-Mech-Shield-001</t>
  </si>
  <si>
    <t>Pre-CDR Mech Review</t>
  </si>
  <si>
    <t>Detected sudden drop in solar panel current or telemetry loss from a specific external sensor.</t>
  </si>
  <si>
    <t>#23</t>
  </si>
  <si>
    <t>R-TECH-09</t>
  </si>
  <si>
    <t>If a single passive component (e.g., resistor, filter capacitor) on the ZES peripheral board fails on-orbit due to manufacturing defect, then the associated circuit will be open, leading to the loss of functionality of a non-critical sensor (e.g., the Accelerometer).</t>
  </si>
  <si>
    <t>1. Component Selection: Use space-rated (or high-reliability COTS) components with flight heritage where possible. 2. Derating: Ensure all passive components are operated well within their voltage and current limits (derating).</t>
  </si>
  <si>
    <t>Command the Bus to power-cycle the entire payload (ZES board) and log the failure time/location to command a subsequent diagnostic data downlink.</t>
  </si>
  <si>
    <t>Directly threatens FR 2.2 (ZES Board Power Quality) and FR 4.1 (Sensor Data Integrity).</t>
  </si>
  <si>
    <t>Requires a Hardware Rework on the ZES board, delaying its delivery to the integration team.</t>
  </si>
  <si>
    <t>Acceptance Test Procedure (ATP) reveals an unexpected current draw or open circuit on a non-critical sensor.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</si>
</sst>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2">
    <font>
      <sz val="10.0"/>
      <color rgb="FF000000"/>
      <name val="Arial"/>
      <scheme val="minor"/>
    </font>
    <font>
      <b/>
      <color theme="1"/>
      <name val="Arial"/>
      <scheme val="minor"/>
    </font>
    <font/>
    <font>
      <color theme="1"/>
      <name val="Arial"/>
      <scheme val="minor"/>
    </font>
    <font>
      <color rgb="FF000000"/>
      <name val="Arial"/>
      <scheme val="minor"/>
    </font>
    <font>
      <b/>
      <color rgb="FF1F1F1F"/>
      <name val="Google Sans Text"/>
    </font>
    <font>
      <color rgb="FF1F1F1F"/>
      <name val="Google Sans Text"/>
    </font>
    <font>
      <color theme="1"/>
      <name val="Arial"/>
    </font>
    <font>
      <b/>
      <color theme="1"/>
      <name val="Arial"/>
    </font>
    <font>
      <color rgb="FF1F1F1F"/>
      <name val="Arial"/>
    </font>
    <font>
      <color rgb="FF1F1F1F"/>
      <name val="&quot;Google Sans Text&quot;"/>
    </font>
    <font>
      <b/>
      <color rgb="FF1F1F1F"/>
      <name val="&quot;Google Sans Text&quot;"/>
    </font>
  </fonts>
  <fills count="13">
    <fill>
      <patternFill patternType="none"/>
    </fill>
    <fill>
      <patternFill patternType="lightGray"/>
    </fill>
    <fill>
      <patternFill patternType="solid">
        <fgColor rgb="FFB7B7B7"/>
        <bgColor rgb="FFB7B7B7"/>
      </patternFill>
    </fill>
    <fill>
      <patternFill patternType="solid">
        <fgColor rgb="FF57BB8A"/>
        <bgColor rgb="FF57BB8A"/>
      </patternFill>
    </fill>
    <fill>
      <patternFill patternType="solid">
        <fgColor rgb="FF9AC57C"/>
        <bgColor rgb="FF9AC57C"/>
      </patternFill>
    </fill>
    <fill>
      <patternFill patternType="solid">
        <fgColor rgb="FFDDD06E"/>
        <bgColor rgb="FFDDD06E"/>
      </patternFill>
    </fill>
    <fill>
      <patternFill patternType="solid">
        <fgColor rgb="FFFBC568"/>
        <bgColor rgb="FFFBC568"/>
      </patternFill>
    </fill>
    <fill>
      <patternFill patternType="solid">
        <fgColor rgb="FFFF9900"/>
        <bgColor rgb="FFFF9900"/>
      </patternFill>
    </fill>
    <fill>
      <patternFill patternType="solid">
        <fgColor rgb="FFF0A06D"/>
        <bgColor rgb="FFF0A06D"/>
      </patternFill>
    </fill>
    <fill>
      <patternFill patternType="solid">
        <fgColor rgb="FFE67C73"/>
        <bgColor rgb="FFE67C73"/>
      </patternFill>
    </fill>
    <fill>
      <patternFill patternType="solid">
        <fgColor rgb="FFF3A96C"/>
        <bgColor rgb="FFF3A96C"/>
      </patternFill>
    </fill>
    <fill>
      <patternFill patternType="solid">
        <fgColor rgb="FFFFD666"/>
        <bgColor rgb="FFFFD666"/>
      </patternFill>
    </fill>
    <fill>
      <patternFill patternType="solid">
        <fgColor rgb="FFABC878"/>
        <bgColor rgb="FFABC878"/>
      </patternFill>
    </fill>
  </fills>
  <borders count="42">
    <border/>
    <border>
      <bottom style="medium">
        <color rgb="FF000000"/>
      </bottom>
    </border>
    <border>
      <right style="medium">
        <color rgb="FF000000"/>
      </right>
    </border>
    <border>
      <right style="thin">
        <color rgb="FF000000"/>
      </right>
      <top style="medium">
        <color rgb="FF000000"/>
      </top>
    </border>
    <border>
      <top style="medium">
        <color rgb="FF000000"/>
      </top>
    </border>
    <border>
      <left style="thin">
        <color rgb="FF000000"/>
      </left>
      <right style="thin">
        <color rgb="FF000000"/>
      </right>
      <top style="medium">
        <color rgb="FF000000"/>
      </top>
    </border>
    <border>
      <right style="medium">
        <color rgb="FF000000"/>
      </right>
      <top style="medium">
        <color rgb="FF000000"/>
      </top>
    </border>
    <border>
      <left style="medium">
        <color rgb="FF000000"/>
      </left>
      <right style="thin">
        <color rgb="FF000000"/>
      </right>
      <bottom style="medium">
        <color rgb="FF000000"/>
      </bottom>
    </border>
    <border>
      <right style="medium">
        <color rgb="FF000000"/>
      </right>
      <top style="medium">
        <color rgb="FF000000"/>
      </top>
      <bottom style="medium">
        <color rgb="FF000000"/>
      </bottom>
    </border>
    <border>
      <right style="medium">
        <color rgb="FF000000"/>
      </right>
      <bottom style="medium">
        <color rgb="FF000000"/>
      </bottom>
    </border>
    <border>
      <right style="thin">
        <color rgb="FF000000"/>
      </right>
      <top style="thin">
        <color rgb="FF000000"/>
      </top>
      <bottom style="medium">
        <color rgb="FF000000"/>
      </bottom>
    </border>
    <border>
      <top style="thin">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style="medium">
        <color rgb="FF000000"/>
      </top>
    </border>
    <border>
      <left style="medium">
        <color rgb="FF000000"/>
      </left>
    </border>
    <border>
      <left style="thin">
        <color rgb="FF000000"/>
      </left>
      <right style="medium">
        <color rgb="FF000000"/>
      </right>
    </border>
    <border>
      <left style="medium">
        <color rgb="FF000000"/>
      </left>
      <top style="medium">
        <color rgb="FF000000"/>
      </top>
    </border>
    <border>
      <left style="medium">
        <color rgb="FF000000"/>
      </left>
      <right style="thin">
        <color rgb="FF000000"/>
      </right>
    </border>
    <border>
      <left style="medium">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thin">
        <color rgb="FF000000"/>
      </left>
      <right style="thin">
        <color rgb="FF000000"/>
      </right>
    </border>
    <border>
      <left style="thin">
        <color rgb="FF000000"/>
      </left>
      <right style="thin">
        <color rgb="FF000000"/>
      </right>
      <bottom style="medium">
        <color rgb="FF000000"/>
      </bottom>
    </border>
    <border>
      <left style="medium">
        <color rgb="FF000000"/>
      </left>
      <top style="medium">
        <color rgb="FF000000"/>
      </top>
      <bottom style="medium">
        <color rgb="FF000000"/>
      </bottom>
    </border>
    <border>
      <left style="thin">
        <color rgb="FF000000"/>
      </left>
      <right style="thin">
        <color rgb="FF000000"/>
      </right>
      <top style="medium">
        <color rgb="FF000000"/>
      </top>
      <bottom style="medium">
        <color rgb="FF000000"/>
      </bottom>
    </border>
    <border>
      <right style="thin">
        <color rgb="FF000000"/>
      </right>
      <top style="medium">
        <color rgb="FF000000"/>
      </top>
      <bottom style="medium">
        <color rgb="FF000000"/>
      </bottom>
    </border>
    <border>
      <right style="thin">
        <color rgb="FF000000"/>
      </right>
    </border>
    <border>
      <right style="thin">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border>
    <border>
      <left style="thin">
        <color rgb="FF000000"/>
      </left>
      <bottom style="medium">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medium">
        <color rgb="FF000000"/>
      </top>
    </border>
    <border>
      <left style="medium">
        <color rgb="FF000000"/>
      </left>
      <right style="medium">
        <color rgb="FF000000"/>
      </right>
      <bottom style="thin">
        <color rgb="FF000000"/>
      </bottom>
    </border>
    <border>
      <left style="medium">
        <color rgb="FF000000"/>
      </left>
      <right style="medium">
        <color rgb="FF000000"/>
      </right>
      <bottom style="medium">
        <color rgb="FF000000"/>
      </bottom>
    </border>
    <border>
      <left style="medium">
        <color rgb="FF000000"/>
      </left>
      <right style="medium">
        <color rgb="FF000000"/>
      </right>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172">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readingOrder="0"/>
    </xf>
    <xf borderId="1" fillId="0" fontId="1" numFmtId="0" xfId="0" applyAlignment="1" applyBorder="1" applyFont="1">
      <alignment horizontal="center" readingOrder="0"/>
    </xf>
    <xf borderId="1" fillId="0" fontId="2" numFmtId="0" xfId="0" applyBorder="1" applyFont="1"/>
    <xf borderId="0" fillId="0" fontId="3" numFmtId="0" xfId="0" applyAlignment="1" applyFont="1">
      <alignment horizontal="center"/>
    </xf>
    <xf borderId="2" fillId="0" fontId="3" numFmtId="0" xfId="0" applyAlignment="1" applyBorder="1" applyFont="1">
      <alignment horizontal="center" readingOrder="0"/>
    </xf>
    <xf borderId="3" fillId="2" fontId="3" numFmtId="0" xfId="0" applyAlignment="1" applyBorder="1" applyFill="1" applyFont="1">
      <alignment horizontal="center" readingOrder="0"/>
    </xf>
    <xf borderId="4" fillId="2" fontId="3" numFmtId="0" xfId="0" applyAlignment="1" applyBorder="1" applyFont="1">
      <alignment horizontal="center" readingOrder="0"/>
    </xf>
    <xf borderId="5" fillId="2" fontId="3" numFmtId="0" xfId="0" applyAlignment="1" applyBorder="1" applyFont="1">
      <alignment horizontal="center" readingOrder="0"/>
    </xf>
    <xf borderId="6" fillId="2" fontId="3" numFmtId="0" xfId="0" applyAlignment="1" applyBorder="1" applyFont="1">
      <alignment horizontal="center" readingOrder="0"/>
    </xf>
    <xf borderId="7" fillId="2" fontId="4" numFmtId="0" xfId="0" applyAlignment="1" applyBorder="1" applyFont="1">
      <alignment horizontal="center" readingOrder="0"/>
    </xf>
    <xf borderId="8" fillId="2" fontId="3" numFmtId="0" xfId="0" applyAlignment="1" applyBorder="1" applyFont="1">
      <alignment horizontal="center" readingOrder="0"/>
    </xf>
    <xf borderId="1" fillId="0" fontId="3" numFmtId="0" xfId="0" applyAlignment="1" applyBorder="1" applyFont="1">
      <alignment horizontal="center" readingOrder="0"/>
    </xf>
    <xf borderId="9" fillId="0" fontId="3" numFmtId="0" xfId="0" applyAlignment="1" applyBorder="1" applyFont="1">
      <alignment horizontal="center"/>
    </xf>
    <xf borderId="10" fillId="0" fontId="3" numFmtId="0" xfId="0" applyAlignment="1" applyBorder="1" applyFont="1">
      <alignment horizontal="center" readingOrder="0"/>
    </xf>
    <xf borderId="11" fillId="0" fontId="3" numFmtId="0" xfId="0" applyAlignment="1" applyBorder="1" applyFont="1">
      <alignment horizontal="center" readingOrder="0"/>
    </xf>
    <xf borderId="12" fillId="0" fontId="3" numFmtId="0" xfId="0" applyAlignment="1" applyBorder="1" applyFont="1">
      <alignment horizontal="center" readingOrder="0"/>
    </xf>
    <xf borderId="13" fillId="0" fontId="3" numFmtId="0" xfId="0" applyAlignment="1" applyBorder="1" applyFont="1">
      <alignment horizontal="center" readingOrder="0"/>
    </xf>
    <xf borderId="14" fillId="3" fontId="4" numFmtId="0" xfId="0" applyAlignment="1" applyBorder="1" applyFill="1" applyFont="1">
      <alignment horizontal="center" readingOrder="0"/>
    </xf>
    <xf borderId="6" fillId="3" fontId="3" numFmtId="164" xfId="0" applyAlignment="1" applyBorder="1" applyFont="1" applyNumberFormat="1">
      <alignment horizontal="center" readingOrder="0"/>
    </xf>
    <xf borderId="0" fillId="0" fontId="3" numFmtId="0" xfId="0" applyAlignment="1" applyFont="1">
      <alignment readingOrder="0"/>
    </xf>
    <xf borderId="0" fillId="0" fontId="1" numFmtId="0" xfId="0" applyAlignment="1" applyFont="1">
      <alignment horizontal="center" readingOrder="0" textRotation="90"/>
    </xf>
    <xf borderId="15" fillId="2" fontId="3" numFmtId="0" xfId="0" applyAlignment="1" applyBorder="1" applyFont="1">
      <alignment horizontal="center" readingOrder="0"/>
    </xf>
    <xf borderId="16" fillId="0" fontId="3" numFmtId="0" xfId="0" applyAlignment="1" applyBorder="1" applyFont="1">
      <alignment horizontal="center" readingOrder="0"/>
    </xf>
    <xf borderId="17" fillId="0" fontId="3" numFmtId="0" xfId="0" applyAlignment="1" applyBorder="1" applyFont="1">
      <alignment horizontal="center"/>
    </xf>
    <xf borderId="4" fillId="0" fontId="3" numFmtId="0" xfId="0" applyAlignment="1" applyBorder="1" applyFont="1">
      <alignment horizontal="center"/>
    </xf>
    <xf borderId="6" fillId="0" fontId="3" numFmtId="0" xfId="0" applyAlignment="1" applyBorder="1" applyFont="1">
      <alignment horizontal="center"/>
    </xf>
    <xf borderId="18" fillId="4" fontId="4" numFmtId="0" xfId="0" applyAlignment="1" applyBorder="1" applyFill="1" applyFont="1">
      <alignment horizontal="center" readingOrder="0"/>
    </xf>
    <xf borderId="2" fillId="4" fontId="3" numFmtId="164" xfId="0" applyAlignment="1" applyBorder="1" applyFont="1" applyNumberFormat="1">
      <alignment horizontal="center" readingOrder="0"/>
    </xf>
    <xf borderId="19" fillId="2" fontId="3" numFmtId="0" xfId="0" applyAlignment="1" applyBorder="1" applyFont="1">
      <alignment horizontal="center" readingOrder="0"/>
    </xf>
    <xf borderId="20" fillId="0" fontId="3" numFmtId="0" xfId="0" applyAlignment="1" applyBorder="1" applyFont="1">
      <alignment horizontal="center" readingOrder="0"/>
    </xf>
    <xf borderId="15" fillId="0" fontId="3" numFmtId="0" xfId="0" applyAlignment="1" applyBorder="1" applyFont="1">
      <alignment horizontal="center"/>
    </xf>
    <xf borderId="2" fillId="0" fontId="3" numFmtId="0" xfId="0" applyAlignment="1" applyBorder="1" applyFont="1">
      <alignment horizontal="center"/>
    </xf>
    <xf borderId="18" fillId="5" fontId="4" numFmtId="0" xfId="0" applyAlignment="1" applyBorder="1" applyFill="1" applyFont="1">
      <alignment horizontal="center" readingOrder="0"/>
    </xf>
    <xf borderId="2" fillId="5" fontId="3" numFmtId="164" xfId="0" applyAlignment="1" applyBorder="1" applyFont="1" applyNumberFormat="1">
      <alignment horizontal="center" readingOrder="0"/>
    </xf>
    <xf borderId="18" fillId="6" fontId="4" numFmtId="0" xfId="0" applyAlignment="1" applyBorder="1" applyFill="1" applyFont="1">
      <alignment horizontal="center" readingOrder="0"/>
    </xf>
    <xf borderId="2" fillId="6" fontId="3" numFmtId="164" xfId="0" applyAlignment="1" applyBorder="1" applyFont="1" applyNumberFormat="1">
      <alignment horizontal="center" readingOrder="0"/>
    </xf>
    <xf borderId="0" fillId="7" fontId="3" numFmtId="0" xfId="0" applyAlignment="1" applyFill="1" applyFont="1">
      <alignment horizontal="center"/>
    </xf>
    <xf borderId="18" fillId="8" fontId="4" numFmtId="0" xfId="0" applyAlignment="1" applyBorder="1" applyFill="1" applyFont="1">
      <alignment horizontal="center" readingOrder="0"/>
    </xf>
    <xf borderId="2" fillId="8" fontId="3" numFmtId="0" xfId="0" applyAlignment="1" applyBorder="1" applyFont="1">
      <alignment horizontal="center" readingOrder="0"/>
    </xf>
    <xf borderId="21" fillId="2" fontId="3" numFmtId="0" xfId="0" applyAlignment="1" applyBorder="1" applyFont="1">
      <alignment horizontal="center" readingOrder="0"/>
    </xf>
    <xf borderId="22" fillId="0" fontId="3" numFmtId="0" xfId="0" applyAlignment="1" applyBorder="1" applyFont="1">
      <alignment horizontal="center" readingOrder="0"/>
    </xf>
    <xf borderId="21" fillId="0" fontId="3" numFmtId="0" xfId="0" applyAlignment="1" applyBorder="1" applyFont="1">
      <alignment horizontal="center"/>
    </xf>
    <xf borderId="1" fillId="0" fontId="3" numFmtId="0" xfId="0" applyAlignment="1" applyBorder="1" applyFont="1">
      <alignment horizontal="center"/>
    </xf>
    <xf borderId="7" fillId="9" fontId="4" numFmtId="0" xfId="0" applyAlignment="1" applyBorder="1" applyFill="1" applyFont="1">
      <alignment horizontal="center" readingOrder="0"/>
    </xf>
    <xf borderId="9" fillId="9" fontId="3" numFmtId="0" xfId="0" applyAlignment="1" applyBorder="1" applyFont="1">
      <alignment horizontal="center" readingOrder="0"/>
    </xf>
    <xf borderId="23" fillId="0" fontId="1" numFmtId="0" xfId="0" applyAlignment="1" applyBorder="1" applyFont="1">
      <alignment horizontal="center" readingOrder="0"/>
    </xf>
    <xf borderId="17" fillId="2" fontId="5" numFmtId="0" xfId="0" applyAlignment="1" applyBorder="1" applyFont="1">
      <alignment horizontal="center" vertical="bottom"/>
    </xf>
    <xf borderId="5" fillId="2" fontId="5" numFmtId="0" xfId="0" applyAlignment="1" applyBorder="1" applyFont="1">
      <alignment horizontal="center" vertical="bottom"/>
    </xf>
    <xf borderId="8" fillId="2" fontId="5" numFmtId="0" xfId="0" applyAlignment="1" applyBorder="1" applyFont="1">
      <alignment vertical="bottom"/>
    </xf>
    <xf borderId="24" fillId="2" fontId="3" numFmtId="0" xfId="0" applyBorder="1" applyFont="1"/>
    <xf borderId="8" fillId="2" fontId="3" numFmtId="0" xfId="0" applyBorder="1" applyFont="1"/>
    <xf borderId="0" fillId="0" fontId="5" numFmtId="0" xfId="0" applyAlignment="1" applyFont="1">
      <alignment horizontal="center" readingOrder="0" vertical="bottom"/>
    </xf>
    <xf borderId="14" fillId="0" fontId="6" numFmtId="0" xfId="0" applyAlignment="1" applyBorder="1" applyFont="1">
      <alignment horizontal="center" vertical="bottom"/>
    </xf>
    <xf borderId="5" fillId="0" fontId="6" numFmtId="0" xfId="0" applyAlignment="1" applyBorder="1" applyFont="1">
      <alignment horizontal="center" vertical="bottom"/>
    </xf>
    <xf borderId="6" fillId="0" fontId="6" numFmtId="0" xfId="0" applyAlignment="1" applyBorder="1" applyFont="1">
      <alignment vertical="bottom"/>
    </xf>
    <xf borderId="4" fillId="0" fontId="3" numFmtId="0" xfId="0" applyBorder="1" applyFont="1"/>
    <xf borderId="6" fillId="0" fontId="3" numFmtId="0" xfId="0" applyBorder="1" applyFont="1"/>
    <xf borderId="18" fillId="10" fontId="6" numFmtId="0" xfId="0" applyAlignment="1" applyBorder="1" applyFill="1" applyFont="1">
      <alignment horizontal="center" vertical="bottom"/>
    </xf>
    <xf borderId="25" fillId="0" fontId="6" numFmtId="0" xfId="0" applyAlignment="1" applyBorder="1" applyFont="1">
      <alignment horizontal="center" vertical="bottom"/>
    </xf>
    <xf borderId="2" fillId="0" fontId="6" numFmtId="0" xfId="0" applyAlignment="1" applyBorder="1" applyFont="1">
      <alignment vertical="bottom"/>
    </xf>
    <xf borderId="2" fillId="0" fontId="3" numFmtId="0" xfId="0" applyBorder="1" applyFont="1"/>
    <xf borderId="18" fillId="11" fontId="6" numFmtId="0" xfId="0" applyAlignment="1" applyBorder="1" applyFill="1" applyFont="1">
      <alignment horizontal="center" vertical="bottom"/>
    </xf>
    <xf borderId="18" fillId="12" fontId="6" numFmtId="0" xfId="0" applyAlignment="1" applyBorder="1" applyFill="1" applyFont="1">
      <alignment horizontal="center" vertical="bottom"/>
    </xf>
    <xf borderId="7" fillId="0" fontId="6" numFmtId="0" xfId="0" applyAlignment="1" applyBorder="1" applyFont="1">
      <alignment horizontal="center" vertical="bottom"/>
    </xf>
    <xf borderId="26" fillId="0" fontId="6" numFmtId="0" xfId="0" applyAlignment="1" applyBorder="1" applyFont="1">
      <alignment horizontal="center" vertical="bottom"/>
    </xf>
    <xf borderId="9" fillId="0" fontId="6" numFmtId="0" xfId="0" applyAlignment="1" applyBorder="1" applyFont="1">
      <alignment vertical="bottom"/>
    </xf>
    <xf borderId="1" fillId="0" fontId="3" numFmtId="0" xfId="0" applyBorder="1" applyFont="1"/>
    <xf borderId="9" fillId="0" fontId="3" numFmtId="0" xfId="0" applyBorder="1" applyFont="1"/>
    <xf borderId="4" fillId="2" fontId="5" numFmtId="0" xfId="0" applyAlignment="1" applyBorder="1" applyFont="1">
      <alignment readingOrder="0" vertical="bottom"/>
    </xf>
    <xf borderId="4" fillId="2" fontId="3" numFmtId="0" xfId="0" applyBorder="1" applyFont="1"/>
    <xf borderId="6" fillId="2" fontId="3" numFmtId="0" xfId="0" applyBorder="1" applyFont="1"/>
    <xf borderId="17" fillId="0" fontId="6" numFmtId="0" xfId="0" applyAlignment="1" applyBorder="1" applyFont="1">
      <alignment horizontal="center" vertical="bottom"/>
    </xf>
    <xf borderId="5" fillId="0" fontId="6" numFmtId="0" xfId="0" applyAlignment="1" applyBorder="1" applyFont="1">
      <alignment horizontal="center" readingOrder="0" vertical="bottom"/>
    </xf>
    <xf borderId="4" fillId="0" fontId="6" numFmtId="0" xfId="0" applyAlignment="1" applyBorder="1" applyFont="1">
      <alignment vertical="bottom"/>
    </xf>
    <xf borderId="15" fillId="0" fontId="6" numFmtId="0" xfId="0" applyAlignment="1" applyBorder="1" applyFont="1">
      <alignment horizontal="center" vertical="bottom"/>
    </xf>
    <xf borderId="25" fillId="0" fontId="6" numFmtId="0" xfId="0" applyAlignment="1" applyBorder="1" applyFont="1">
      <alignment horizontal="center" readingOrder="0" vertical="bottom"/>
    </xf>
    <xf borderId="0" fillId="0" fontId="6" numFmtId="0" xfId="0" applyAlignment="1" applyFont="1">
      <alignment vertical="bottom"/>
    </xf>
    <xf borderId="21" fillId="0" fontId="6" numFmtId="0" xfId="0" applyAlignment="1" applyBorder="1" applyFont="1">
      <alignment horizontal="center" vertical="bottom"/>
    </xf>
    <xf borderId="1" fillId="0" fontId="6" numFmtId="0" xfId="0" applyAlignment="1" applyBorder="1" applyFont="1">
      <alignment vertical="bottom"/>
    </xf>
    <xf borderId="27" fillId="2" fontId="5" numFmtId="0" xfId="0" applyAlignment="1" applyBorder="1" applyFont="1">
      <alignment horizontal="center" vertical="bottom"/>
    </xf>
    <xf borderId="28" fillId="2" fontId="5" numFmtId="0" xfId="0" applyAlignment="1" applyBorder="1" applyFont="1">
      <alignment horizontal="center" vertical="bottom"/>
    </xf>
    <xf borderId="24" fillId="2" fontId="5" numFmtId="0" xfId="0" applyAlignment="1" applyBorder="1" applyFont="1">
      <alignment horizontal="center" readingOrder="0" vertical="bottom"/>
    </xf>
    <xf borderId="24" fillId="2" fontId="5" numFmtId="0" xfId="0" applyAlignment="1" applyBorder="1" applyFont="1">
      <alignment horizontal="center" vertical="bottom"/>
    </xf>
    <xf borderId="29" fillId="2" fontId="5" numFmtId="0" xfId="0" applyAlignment="1" applyBorder="1" applyFont="1">
      <alignment horizontal="center" vertical="bottom"/>
    </xf>
    <xf borderId="24" fillId="2" fontId="5" numFmtId="0" xfId="0" applyAlignment="1" applyBorder="1" applyFont="1">
      <alignment vertical="bottom"/>
    </xf>
    <xf borderId="24" fillId="2" fontId="1" numFmtId="0" xfId="0" applyBorder="1" applyFont="1"/>
    <xf borderId="8" fillId="2" fontId="1" numFmtId="0" xfId="0" applyBorder="1" applyFont="1"/>
    <xf borderId="18" fillId="0" fontId="5" numFmtId="0" xfId="0" applyAlignment="1" applyBorder="1" applyFont="1">
      <alignment horizontal="center" vertical="bottom"/>
    </xf>
    <xf borderId="30" fillId="0" fontId="5" numFmtId="0" xfId="0" applyAlignment="1" applyBorder="1" applyFont="1">
      <alignment horizontal="center" vertical="bottom"/>
    </xf>
    <xf borderId="30" fillId="0" fontId="6" numFmtId="0" xfId="0" applyAlignment="1" applyBorder="1" applyFont="1">
      <alignment horizontal="center" vertical="bottom"/>
    </xf>
    <xf borderId="0" fillId="0" fontId="6" numFmtId="0" xfId="0" applyAlignment="1" applyFont="1">
      <alignment horizontal="center" vertical="bottom"/>
    </xf>
    <xf borderId="7" fillId="0" fontId="5" numFmtId="0" xfId="0" applyAlignment="1" applyBorder="1" applyFont="1">
      <alignment horizontal="center" vertical="bottom"/>
    </xf>
    <xf borderId="31" fillId="0" fontId="5" numFmtId="0" xfId="0" applyAlignment="1" applyBorder="1" applyFont="1">
      <alignment horizontal="center" vertical="bottom"/>
    </xf>
    <xf borderId="1" fillId="0" fontId="5" numFmtId="0" xfId="0" applyAlignment="1" applyBorder="1" applyFont="1">
      <alignment horizontal="center" vertical="bottom"/>
    </xf>
    <xf borderId="1" fillId="0" fontId="6" numFmtId="0" xfId="0" applyAlignment="1" applyBorder="1" applyFont="1">
      <alignment horizontal="center" vertical="bottom"/>
    </xf>
    <xf borderId="31" fillId="0" fontId="6" numFmtId="0" xfId="0" applyAlignment="1" applyBorder="1" applyFont="1">
      <alignment horizontal="center" vertical="bottom"/>
    </xf>
    <xf borderId="32" fillId="2" fontId="5" numFmtId="0" xfId="0" applyAlignment="1" applyBorder="1" applyFont="1">
      <alignment vertical="bottom"/>
    </xf>
    <xf borderId="29" fillId="2" fontId="1" numFmtId="0" xfId="0" applyBorder="1" applyFont="1"/>
    <xf borderId="15" fillId="0" fontId="5" numFmtId="0" xfId="0" applyAlignment="1" applyBorder="1" applyFont="1">
      <alignment vertical="bottom"/>
    </xf>
    <xf borderId="33" fillId="0" fontId="6" numFmtId="0" xfId="0" applyAlignment="1" applyBorder="1" applyFont="1">
      <alignment vertical="bottom"/>
    </xf>
    <xf borderId="30" fillId="0" fontId="3" numFmtId="0" xfId="0" applyBorder="1" applyFont="1"/>
    <xf borderId="21" fillId="0" fontId="5" numFmtId="0" xfId="0" applyAlignment="1" applyBorder="1" applyFont="1">
      <alignment vertical="bottom"/>
    </xf>
    <xf borderId="34" fillId="0" fontId="6" numFmtId="0" xfId="0" applyAlignment="1" applyBorder="1" applyFont="1">
      <alignment vertical="bottom"/>
    </xf>
    <xf borderId="31" fillId="0" fontId="3" numFmtId="0" xfId="0" applyBorder="1" applyFont="1"/>
    <xf borderId="27" fillId="8" fontId="1" numFmtId="0" xfId="0" applyAlignment="1" applyBorder="1" applyFont="1">
      <alignment horizontal="center" readingOrder="0"/>
    </xf>
    <xf borderId="35" fillId="2" fontId="5" numFmtId="0" xfId="0" applyAlignment="1" applyBorder="1" applyFont="1">
      <alignment horizontal="center" vertical="bottom"/>
    </xf>
    <xf borderId="36" fillId="0" fontId="2" numFmtId="0" xfId="0" applyBorder="1" applyFont="1"/>
    <xf borderId="0" fillId="0" fontId="5" numFmtId="0" xfId="0" applyAlignment="1" applyFont="1">
      <alignment vertical="bottom"/>
    </xf>
    <xf borderId="15" fillId="0" fontId="5" numFmtId="0" xfId="0" applyAlignment="1" applyBorder="1" applyFont="1">
      <alignment horizontal="center" vertical="bottom"/>
    </xf>
    <xf borderId="2" fillId="0" fontId="2" numFmtId="0" xfId="0" applyBorder="1" applyFont="1"/>
    <xf borderId="37" fillId="10" fontId="6" numFmtId="0" xfId="0" applyAlignment="1" applyBorder="1" applyFont="1">
      <alignment horizontal="center" vertical="bottom"/>
    </xf>
    <xf borderId="38" fillId="10" fontId="6" numFmtId="0" xfId="0" applyAlignment="1" applyBorder="1" applyFont="1">
      <alignment horizontal="center" readingOrder="0" vertical="bottom"/>
    </xf>
    <xf borderId="39" fillId="8" fontId="6" numFmtId="0" xfId="0" applyAlignment="1" applyBorder="1" applyFont="1">
      <alignment horizontal="center" readingOrder="0" vertical="bottom"/>
    </xf>
    <xf borderId="0" fillId="0" fontId="6" numFmtId="0" xfId="0" applyAlignment="1" applyFont="1">
      <alignment horizontal="right" vertical="bottom"/>
    </xf>
    <xf borderId="15" fillId="0" fontId="5" numFmtId="0" xfId="0" applyAlignment="1" applyBorder="1" applyFont="1">
      <alignment horizontal="center" readingOrder="0" vertical="bottom"/>
    </xf>
    <xf borderId="37" fillId="10" fontId="6" numFmtId="0" xfId="0" applyAlignment="1" applyBorder="1" applyFont="1">
      <alignment horizontal="center" readingOrder="0" vertical="bottom"/>
    </xf>
    <xf borderId="40" fillId="10" fontId="6" numFmtId="0" xfId="0" applyAlignment="1" applyBorder="1" applyFont="1">
      <alignment horizontal="center" readingOrder="0" vertical="bottom"/>
    </xf>
    <xf borderId="41" fillId="8" fontId="6" numFmtId="0" xfId="0" applyAlignment="1" applyBorder="1" applyFont="1">
      <alignment horizontal="center" readingOrder="0" vertical="bottom"/>
    </xf>
    <xf borderId="0" fillId="0" fontId="6" numFmtId="0" xfId="0" applyAlignment="1" applyFont="1">
      <alignment readingOrder="0" vertical="bottom"/>
    </xf>
    <xf borderId="0" fillId="0" fontId="7" numFmtId="0" xfId="0" applyAlignment="1" applyFont="1">
      <alignment readingOrder="0" vertical="bottom"/>
    </xf>
    <xf borderId="21" fillId="0" fontId="5" numFmtId="0" xfId="0" applyAlignment="1" applyBorder="1" applyFont="1">
      <alignment horizontal="center" vertical="bottom"/>
    </xf>
    <xf borderId="9" fillId="0" fontId="2" numFmtId="0" xfId="0" applyBorder="1" applyFont="1"/>
    <xf borderId="0" fillId="0" fontId="1" numFmtId="0" xfId="0" applyAlignment="1" applyFont="1">
      <alignment horizontal="center"/>
    </xf>
    <xf borderId="23" fillId="8" fontId="1" numFmtId="0" xfId="0" applyAlignment="1" applyBorder="1" applyFont="1">
      <alignment horizontal="center" readingOrder="0"/>
    </xf>
    <xf borderId="37" fillId="11" fontId="6" numFmtId="0" xfId="0" applyAlignment="1" applyBorder="1" applyFont="1">
      <alignment horizontal="center" readingOrder="0" vertical="bottom"/>
    </xf>
    <xf borderId="40" fillId="11" fontId="6" numFmtId="0" xfId="0" applyAlignment="1" applyBorder="1" applyFont="1">
      <alignment horizontal="center" readingOrder="0" vertical="bottom"/>
    </xf>
    <xf borderId="41" fillId="5" fontId="6" numFmtId="0" xfId="0" applyAlignment="1" applyBorder="1" applyFont="1">
      <alignment horizontal="center" readingOrder="0" vertical="bottom"/>
    </xf>
    <xf borderId="23" fillId="8" fontId="8" numFmtId="0" xfId="0" applyAlignment="1" applyBorder="1" applyFont="1">
      <alignment horizontal="center" readingOrder="0" vertical="bottom"/>
    </xf>
    <xf borderId="0" fillId="0" fontId="5" numFmtId="0" xfId="0" applyAlignment="1" applyFont="1">
      <alignment readingOrder="0" vertical="bottom"/>
    </xf>
    <xf borderId="0" fillId="0" fontId="7" numFmtId="0" xfId="0" applyAlignment="1" applyFont="1">
      <alignment horizontal="center" vertical="bottom"/>
    </xf>
    <xf borderId="37" fillId="12" fontId="6" numFmtId="0" xfId="0" applyAlignment="1" applyBorder="1" applyFont="1">
      <alignment horizontal="center" readingOrder="0" vertical="bottom"/>
    </xf>
    <xf borderId="0" fillId="0" fontId="7"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37" fillId="11" fontId="6" numFmtId="0" xfId="0" applyAlignment="1" applyBorder="1" applyFont="1">
      <alignment horizontal="center" vertical="bottom"/>
    </xf>
    <xf borderId="38" fillId="9" fontId="6" numFmtId="0" xfId="0" applyAlignment="1" applyBorder="1" applyFont="1">
      <alignment horizontal="center" vertical="bottom"/>
    </xf>
    <xf borderId="41" fillId="8" fontId="6" numFmtId="0" xfId="0" applyAlignment="1" applyBorder="1" applyFont="1">
      <alignment horizontal="center" vertical="bottom"/>
    </xf>
    <xf borderId="15" fillId="0" fontId="5" numFmtId="0" xfId="0" applyAlignment="1" applyBorder="1" applyFont="1">
      <alignment horizontal="center" vertical="bottom"/>
    </xf>
    <xf borderId="37" fillId="12" fontId="6" numFmtId="0" xfId="0" applyAlignment="1" applyBorder="1" applyFont="1">
      <alignment horizontal="center" vertical="bottom"/>
    </xf>
    <xf borderId="40" fillId="10" fontId="6" numFmtId="0" xfId="0" applyAlignment="1" applyBorder="1" applyFont="1">
      <alignment horizontal="center" vertical="bottom"/>
    </xf>
    <xf borderId="41" fillId="5" fontId="6" numFmtId="0" xfId="0" applyAlignment="1" applyBorder="1" applyFont="1">
      <alignment horizontal="center" vertical="bottom"/>
    </xf>
    <xf borderId="0" fillId="0" fontId="7" numFmtId="0" xfId="0" applyAlignment="1" applyFont="1">
      <alignment vertical="bottom"/>
    </xf>
    <xf borderId="38" fillId="9" fontId="6" numFmtId="0" xfId="0" applyAlignment="1" applyBorder="1" applyFont="1">
      <alignment horizontal="center" readingOrder="0" vertical="bottom"/>
    </xf>
    <xf borderId="37" fillId="3" fontId="6" numFmtId="0" xfId="0" applyAlignment="1" applyBorder="1" applyFont="1">
      <alignment horizontal="center" readingOrder="0" vertical="bottom"/>
    </xf>
    <xf borderId="40" fillId="9" fontId="6" numFmtId="0" xfId="0" applyAlignment="1" applyBorder="1" applyFont="1">
      <alignment horizontal="center" readingOrder="0" vertical="bottom"/>
    </xf>
    <xf borderId="23" fillId="6" fontId="8" numFmtId="0" xfId="0" applyAlignment="1" applyBorder="1" applyFont="1">
      <alignment horizontal="center" readingOrder="0" vertical="bottom"/>
    </xf>
    <xf borderId="37" fillId="10" fontId="6" numFmtId="0" xfId="0" applyAlignment="1" applyBorder="1" applyFont="1">
      <alignment horizontal="center" vertical="bottom"/>
    </xf>
    <xf borderId="38" fillId="11" fontId="6" numFmtId="0" xfId="0" applyAlignment="1" applyBorder="1" applyFont="1">
      <alignment horizontal="center" vertical="bottom"/>
    </xf>
    <xf borderId="41" fillId="6" fontId="6" numFmtId="0" xfId="0" applyAlignment="1" applyBorder="1" applyFont="1">
      <alignment horizontal="center" vertical="bottom"/>
    </xf>
    <xf borderId="40" fillId="11" fontId="6" numFmtId="0" xfId="0" applyAlignment="1" applyBorder="1" applyFont="1">
      <alignment horizontal="center" vertical="bottom"/>
    </xf>
    <xf borderId="38" fillId="10" fontId="6" numFmtId="0" xfId="0" applyAlignment="1" applyBorder="1" applyFont="1">
      <alignment horizontal="center" vertical="bottom"/>
    </xf>
    <xf borderId="40" fillId="12" fontId="6" numFmtId="0" xfId="0" applyAlignment="1" applyBorder="1" applyFont="1">
      <alignment horizontal="center" vertical="bottom"/>
    </xf>
    <xf borderId="41" fillId="4" fontId="6" numFmtId="0" xfId="0" applyAlignment="1" applyBorder="1" applyFont="1">
      <alignment horizontal="center" vertical="bottom"/>
    </xf>
    <xf borderId="0" fillId="0" fontId="9" numFmtId="0" xfId="0" applyAlignment="1" applyFont="1">
      <alignment readingOrder="0" vertical="bottom"/>
    </xf>
    <xf borderId="0" fillId="0" fontId="10" numFmtId="0" xfId="0" applyAlignment="1" applyFont="1">
      <alignment readingOrder="0"/>
    </xf>
    <xf borderId="0" fillId="0" fontId="11" numFmtId="0" xfId="0" applyAlignment="1" applyFont="1">
      <alignment readingOrder="0"/>
    </xf>
    <xf borderId="23" fillId="4" fontId="8" numFmtId="0" xfId="0" applyAlignment="1" applyBorder="1" applyFont="1">
      <alignment horizontal="center" readingOrder="0" vertical="bottom"/>
    </xf>
    <xf borderId="37" fillId="5" fontId="6" numFmtId="0" xfId="0" applyAlignment="1" applyBorder="1" applyFont="1">
      <alignment horizontal="center" readingOrder="0" vertical="bottom"/>
    </xf>
    <xf borderId="37" fillId="12" fontId="6" numFmtId="0" xfId="0" applyAlignment="1" applyBorder="1" applyFont="1">
      <alignment horizontal="center" vertical="bottom"/>
    </xf>
    <xf borderId="41" fillId="6" fontId="6" numFmtId="0" xfId="0" applyAlignment="1" applyBorder="1" applyFont="1">
      <alignment horizontal="center" readingOrder="0" vertical="bottom"/>
    </xf>
    <xf borderId="41" fillId="10" fontId="6" numFmtId="0" xfId="0" applyAlignment="1" applyBorder="1" applyFont="1">
      <alignment horizontal="center" readingOrder="0" vertical="bottom"/>
    </xf>
    <xf borderId="38" fillId="5" fontId="6" numFmtId="0" xfId="0" applyAlignment="1" applyBorder="1" applyFont="1">
      <alignment horizontal="center" readingOrder="0" vertical="bottom"/>
    </xf>
    <xf borderId="41" fillId="11" fontId="6" numFmtId="0" xfId="0" applyAlignment="1" applyBorder="1" applyFont="1">
      <alignment horizontal="center" readingOrder="0" vertical="bottom"/>
    </xf>
    <xf borderId="41" fillId="4" fontId="6" numFmtId="0" xfId="0" applyAlignment="1" applyBorder="1" applyFont="1">
      <alignment horizontal="center" readingOrder="0" vertical="bottom"/>
    </xf>
    <xf borderId="23" fillId="5" fontId="8" numFmtId="0" xfId="0" applyAlignment="1" applyBorder="1" applyFont="1">
      <alignment horizontal="center" readingOrder="0" vertical="bottom"/>
    </xf>
    <xf borderId="37" fillId="3" fontId="6" numFmtId="0" xfId="0" applyAlignment="1" applyBorder="1" applyFont="1">
      <alignment horizontal="center" vertical="bottom"/>
    </xf>
    <xf borderId="38" fillId="12" fontId="6" numFmtId="0" xfId="0" applyAlignment="1" applyBorder="1" applyFont="1">
      <alignment horizontal="center" vertical="bottom"/>
    </xf>
    <xf borderId="40" fillId="3" fontId="6" numFmtId="0" xfId="0" applyAlignment="1" applyBorder="1" applyFont="1">
      <alignment horizontal="center" vertical="bottom"/>
    </xf>
    <xf borderId="41" fillId="3" fontId="6" numFmtId="0" xfId="0" applyAlignment="1" applyBorder="1" applyFont="1">
      <alignment horizontal="center" vertical="bottom"/>
    </xf>
    <xf borderId="40" fillId="9" fontId="6"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3.88"/>
    <col customWidth="1" min="3" max="3" width="13.0"/>
    <col customWidth="1" min="10" max="10" width="3.5"/>
  </cols>
  <sheetData>
    <row r="1">
      <c r="G1" s="1"/>
    </row>
    <row r="2">
      <c r="C2" s="2"/>
      <c r="G2" s="1" t="s">
        <v>0</v>
      </c>
      <c r="K2" s="3" t="s">
        <v>1</v>
      </c>
      <c r="L2" s="4"/>
    </row>
    <row r="3">
      <c r="C3" s="5"/>
      <c r="D3" s="6"/>
      <c r="E3" s="7" t="s">
        <v>2</v>
      </c>
      <c r="F3" s="8" t="s">
        <v>3</v>
      </c>
      <c r="G3" s="9" t="s">
        <v>4</v>
      </c>
      <c r="H3" s="7" t="s">
        <v>5</v>
      </c>
      <c r="I3" s="10" t="s">
        <v>6</v>
      </c>
      <c r="J3" s="5"/>
      <c r="K3" s="11" t="s">
        <v>7</v>
      </c>
      <c r="L3" s="12" t="s">
        <v>8</v>
      </c>
    </row>
    <row r="4">
      <c r="C4" s="13"/>
      <c r="D4" s="14"/>
      <c r="E4" s="15">
        <v>1.0</v>
      </c>
      <c r="F4" s="16">
        <v>2.0</v>
      </c>
      <c r="G4" s="17">
        <v>3.0</v>
      </c>
      <c r="H4" s="15">
        <v>4.0</v>
      </c>
      <c r="I4" s="18">
        <v>5.0</v>
      </c>
      <c r="J4" s="5"/>
      <c r="K4" s="19" t="s">
        <v>9</v>
      </c>
      <c r="L4" s="20">
        <v>45659.0</v>
      </c>
    </row>
    <row r="5">
      <c r="A5" s="21"/>
      <c r="B5" s="22" t="s">
        <v>10</v>
      </c>
      <c r="C5" s="23" t="s">
        <v>11</v>
      </c>
      <c r="D5" s="24">
        <v>1.0</v>
      </c>
      <c r="E5" s="25">
        <f t="shared" ref="E5:I5" si="1">E$4*$D5</f>
        <v>1</v>
      </c>
      <c r="F5" s="26">
        <f t="shared" si="1"/>
        <v>2</v>
      </c>
      <c r="G5" s="26">
        <f t="shared" si="1"/>
        <v>3</v>
      </c>
      <c r="H5" s="26">
        <f t="shared" si="1"/>
        <v>4</v>
      </c>
      <c r="I5" s="27">
        <f t="shared" si="1"/>
        <v>5</v>
      </c>
      <c r="J5" s="5"/>
      <c r="K5" s="28" t="s">
        <v>12</v>
      </c>
      <c r="L5" s="29">
        <v>45720.0</v>
      </c>
    </row>
    <row r="6">
      <c r="A6" s="22"/>
      <c r="C6" s="30" t="s">
        <v>13</v>
      </c>
      <c r="D6" s="31">
        <v>2.0</v>
      </c>
      <c r="E6" s="32">
        <f t="shared" ref="E6:I6" si="2">E$4*$D6</f>
        <v>2</v>
      </c>
      <c r="F6" s="5">
        <f t="shared" si="2"/>
        <v>4</v>
      </c>
      <c r="G6" s="5">
        <f t="shared" si="2"/>
        <v>6</v>
      </c>
      <c r="H6" s="5">
        <f t="shared" si="2"/>
        <v>8</v>
      </c>
      <c r="I6" s="33">
        <f t="shared" si="2"/>
        <v>10</v>
      </c>
      <c r="J6" s="5"/>
      <c r="K6" s="34" t="s">
        <v>14</v>
      </c>
      <c r="L6" s="35">
        <v>45786.0</v>
      </c>
    </row>
    <row r="7">
      <c r="A7" s="22"/>
      <c r="C7" s="23" t="s">
        <v>4</v>
      </c>
      <c r="D7" s="24">
        <v>3.0</v>
      </c>
      <c r="E7" s="32">
        <f t="shared" ref="E7:I7" si="3">E$4*$D7</f>
        <v>3</v>
      </c>
      <c r="F7" s="5">
        <f t="shared" si="3"/>
        <v>6</v>
      </c>
      <c r="G7" s="5">
        <f t="shared" si="3"/>
        <v>9</v>
      </c>
      <c r="H7" s="5">
        <f t="shared" si="3"/>
        <v>12</v>
      </c>
      <c r="I7" s="33">
        <f t="shared" si="3"/>
        <v>15</v>
      </c>
      <c r="J7" s="5"/>
      <c r="K7" s="36" t="s">
        <v>15</v>
      </c>
      <c r="L7" s="37">
        <v>45942.0</v>
      </c>
    </row>
    <row r="8">
      <c r="A8" s="22"/>
      <c r="C8" s="30" t="s">
        <v>16</v>
      </c>
      <c r="D8" s="31">
        <v>4.0</v>
      </c>
      <c r="E8" s="32">
        <f t="shared" ref="E8:I8" si="4">E$4*$D8</f>
        <v>4</v>
      </c>
      <c r="F8" s="5">
        <f t="shared" si="4"/>
        <v>8</v>
      </c>
      <c r="G8" s="5">
        <f t="shared" si="4"/>
        <v>12</v>
      </c>
      <c r="H8" s="38">
        <f t="shared" si="4"/>
        <v>16</v>
      </c>
      <c r="I8" s="33">
        <f t="shared" si="4"/>
        <v>20</v>
      </c>
      <c r="J8" s="5"/>
      <c r="K8" s="39" t="s">
        <v>17</v>
      </c>
      <c r="L8" s="40" t="s">
        <v>18</v>
      </c>
    </row>
    <row r="9">
      <c r="A9" s="21"/>
      <c r="C9" s="41" t="s">
        <v>19</v>
      </c>
      <c r="D9" s="42">
        <v>5.0</v>
      </c>
      <c r="E9" s="43">
        <f t="shared" ref="E9:I9" si="5">E$4*$D9</f>
        <v>5</v>
      </c>
      <c r="F9" s="44">
        <f t="shared" si="5"/>
        <v>10</v>
      </c>
      <c r="G9" s="44">
        <f t="shared" si="5"/>
        <v>15</v>
      </c>
      <c r="H9" s="44">
        <f t="shared" si="5"/>
        <v>20</v>
      </c>
      <c r="I9" s="14">
        <f t="shared" si="5"/>
        <v>25</v>
      </c>
      <c r="J9" s="5"/>
      <c r="K9" s="45" t="s">
        <v>20</v>
      </c>
      <c r="L9" s="46" t="s">
        <v>21</v>
      </c>
    </row>
    <row r="11">
      <c r="C11" s="47" t="s">
        <v>22</v>
      </c>
    </row>
    <row r="12">
      <c r="C12" s="48" t="s">
        <v>23</v>
      </c>
      <c r="D12" s="49" t="s">
        <v>24</v>
      </c>
      <c r="E12" s="50" t="s">
        <v>25</v>
      </c>
      <c r="F12" s="51"/>
      <c r="G12" s="52"/>
      <c r="K12" s="53"/>
    </row>
    <row r="13">
      <c r="C13" s="54">
        <v>5.0</v>
      </c>
      <c r="D13" s="55" t="s">
        <v>19</v>
      </c>
      <c r="E13" s="56" t="s">
        <v>26</v>
      </c>
      <c r="F13" s="57"/>
      <c r="G13" s="58"/>
      <c r="K13" s="53"/>
    </row>
    <row r="14">
      <c r="C14" s="59">
        <v>4.0</v>
      </c>
      <c r="D14" s="60" t="s">
        <v>16</v>
      </c>
      <c r="E14" s="61" t="s">
        <v>27</v>
      </c>
      <c r="G14" s="62"/>
      <c r="K14" s="53"/>
    </row>
    <row r="15">
      <c r="C15" s="63">
        <v>3.0</v>
      </c>
      <c r="D15" s="60" t="s">
        <v>28</v>
      </c>
      <c r="E15" s="61" t="s">
        <v>29</v>
      </c>
      <c r="G15" s="62"/>
    </row>
    <row r="16">
      <c r="C16" s="64">
        <v>2.0</v>
      </c>
      <c r="D16" s="60" t="s">
        <v>13</v>
      </c>
      <c r="E16" s="61" t="s">
        <v>30</v>
      </c>
      <c r="G16" s="62"/>
    </row>
    <row r="17">
      <c r="C17" s="65">
        <v>1.0</v>
      </c>
      <c r="D17" s="66" t="s">
        <v>11</v>
      </c>
      <c r="E17" s="67" t="s">
        <v>31</v>
      </c>
      <c r="F17" s="68"/>
      <c r="G17" s="69"/>
    </row>
    <row r="19">
      <c r="C19" s="47" t="s">
        <v>0</v>
      </c>
      <c r="D19" s="5"/>
    </row>
    <row r="20">
      <c r="C20" s="48" t="s">
        <v>23</v>
      </c>
      <c r="D20" s="49" t="s">
        <v>24</v>
      </c>
      <c r="E20" s="70" t="s">
        <v>32</v>
      </c>
      <c r="F20" s="51"/>
      <c r="G20" s="51"/>
      <c r="H20" s="71"/>
      <c r="I20" s="72"/>
    </row>
    <row r="21">
      <c r="C21" s="73">
        <v>5.0</v>
      </c>
      <c r="D21" s="74" t="s">
        <v>6</v>
      </c>
      <c r="E21" s="75" t="s">
        <v>33</v>
      </c>
      <c r="H21" s="57"/>
      <c r="I21" s="58"/>
    </row>
    <row r="22">
      <c r="C22" s="76">
        <v>4.0</v>
      </c>
      <c r="D22" s="77" t="s">
        <v>5</v>
      </c>
      <c r="E22" s="78" t="s">
        <v>34</v>
      </c>
      <c r="I22" s="62"/>
    </row>
    <row r="23">
      <c r="C23" s="76">
        <v>3.0</v>
      </c>
      <c r="D23" s="77" t="s">
        <v>4</v>
      </c>
      <c r="E23" s="78" t="s">
        <v>35</v>
      </c>
      <c r="I23" s="62"/>
    </row>
    <row r="24">
      <c r="C24" s="76">
        <v>2.0</v>
      </c>
      <c r="D24" s="60" t="s">
        <v>3</v>
      </c>
      <c r="E24" s="78" t="s">
        <v>36</v>
      </c>
      <c r="I24" s="62"/>
    </row>
    <row r="25">
      <c r="C25" s="79">
        <v>1.0</v>
      </c>
      <c r="D25" s="66" t="s">
        <v>2</v>
      </c>
      <c r="E25" s="80" t="s">
        <v>37</v>
      </c>
      <c r="F25" s="68"/>
      <c r="G25" s="68"/>
      <c r="H25" s="68"/>
      <c r="I25" s="69"/>
    </row>
    <row r="27">
      <c r="C27" s="81" t="s">
        <v>38</v>
      </c>
      <c r="D27" s="82" t="s">
        <v>39</v>
      </c>
      <c r="E27" s="83" t="s">
        <v>40</v>
      </c>
      <c r="F27" s="84"/>
      <c r="G27" s="85"/>
      <c r="H27" s="86" t="s">
        <v>41</v>
      </c>
      <c r="I27" s="87"/>
      <c r="J27" s="87"/>
      <c r="K27" s="87"/>
      <c r="L27" s="87"/>
      <c r="M27" s="87"/>
      <c r="N27" s="87"/>
      <c r="O27" s="87"/>
      <c r="P27" s="88"/>
    </row>
    <row r="28">
      <c r="C28" s="89" t="s">
        <v>42</v>
      </c>
      <c r="D28" s="90" t="s">
        <v>43</v>
      </c>
      <c r="F28" s="60" t="s">
        <v>44</v>
      </c>
      <c r="G28" s="91"/>
      <c r="H28" s="78" t="s">
        <v>45</v>
      </c>
      <c r="P28" s="62"/>
    </row>
    <row r="29">
      <c r="C29" s="89" t="s">
        <v>46</v>
      </c>
      <c r="D29" s="90" t="s">
        <v>47</v>
      </c>
      <c r="F29" s="92" t="s">
        <v>48</v>
      </c>
      <c r="G29" s="91"/>
      <c r="H29" s="78" t="s">
        <v>49</v>
      </c>
      <c r="P29" s="62"/>
    </row>
    <row r="30">
      <c r="C30" s="89" t="s">
        <v>50</v>
      </c>
      <c r="D30" s="90" t="s">
        <v>51</v>
      </c>
      <c r="F30" s="92" t="s">
        <v>52</v>
      </c>
      <c r="G30" s="91"/>
      <c r="H30" s="78" t="s">
        <v>53</v>
      </c>
      <c r="P30" s="62"/>
    </row>
    <row r="31">
      <c r="C31" s="93" t="s">
        <v>54</v>
      </c>
      <c r="D31" s="94" t="s">
        <v>55</v>
      </c>
      <c r="E31" s="95"/>
      <c r="F31" s="96" t="s">
        <v>56</v>
      </c>
      <c r="G31" s="97"/>
      <c r="H31" s="80" t="s">
        <v>57</v>
      </c>
      <c r="I31" s="68"/>
      <c r="J31" s="68"/>
      <c r="K31" s="68"/>
      <c r="L31" s="68"/>
      <c r="M31" s="68"/>
      <c r="N31" s="68"/>
      <c r="O31" s="68"/>
      <c r="P31" s="69"/>
    </row>
    <row r="33">
      <c r="C33" s="98" t="s">
        <v>58</v>
      </c>
      <c r="D33" s="86" t="s">
        <v>59</v>
      </c>
      <c r="E33" s="86"/>
      <c r="F33" s="87"/>
      <c r="G33" s="99"/>
      <c r="H33" s="86" t="s">
        <v>60</v>
      </c>
      <c r="I33" s="87"/>
      <c r="J33" s="87"/>
      <c r="K33" s="87"/>
      <c r="L33" s="87"/>
      <c r="M33" s="87"/>
      <c r="N33" s="87"/>
      <c r="O33" s="87"/>
      <c r="P33" s="87"/>
      <c r="Q33" s="87"/>
      <c r="R33" s="87"/>
      <c r="S33" s="88"/>
    </row>
    <row r="34">
      <c r="C34" s="100" t="s">
        <v>48</v>
      </c>
      <c r="D34" s="101" t="s">
        <v>61</v>
      </c>
      <c r="E34" s="78"/>
      <c r="G34" s="102"/>
      <c r="H34" s="78" t="s">
        <v>62</v>
      </c>
      <c r="S34" s="62"/>
    </row>
    <row r="35">
      <c r="C35" s="100" t="s">
        <v>52</v>
      </c>
      <c r="D35" s="101" t="s">
        <v>63</v>
      </c>
      <c r="E35" s="78"/>
      <c r="G35" s="102"/>
      <c r="H35" s="78" t="s">
        <v>64</v>
      </c>
      <c r="S35" s="62"/>
    </row>
    <row r="36">
      <c r="C36" s="100" t="s">
        <v>65</v>
      </c>
      <c r="D36" s="101" t="s">
        <v>66</v>
      </c>
      <c r="E36" s="78"/>
      <c r="G36" s="102"/>
      <c r="H36" s="78" t="s">
        <v>67</v>
      </c>
      <c r="S36" s="62"/>
    </row>
    <row r="37">
      <c r="C37" s="103" t="s">
        <v>68</v>
      </c>
      <c r="D37" s="104" t="s">
        <v>69</v>
      </c>
      <c r="E37" s="80"/>
      <c r="F37" s="68"/>
      <c r="G37" s="105"/>
      <c r="H37" s="80" t="s">
        <v>70</v>
      </c>
      <c r="I37" s="68"/>
      <c r="J37" s="68"/>
      <c r="K37" s="68"/>
      <c r="L37" s="68"/>
      <c r="M37" s="68"/>
      <c r="N37" s="68"/>
      <c r="O37" s="68"/>
      <c r="P37" s="68"/>
      <c r="Q37" s="68"/>
      <c r="R37" s="68"/>
      <c r="S37" s="69"/>
    </row>
    <row r="38">
      <c r="C38" s="2"/>
    </row>
    <row r="39">
      <c r="B39" s="106" t="s">
        <v>71</v>
      </c>
      <c r="C39" s="107" t="s">
        <v>58</v>
      </c>
      <c r="D39" s="108"/>
      <c r="E39" s="109" t="s">
        <v>48</v>
      </c>
    </row>
    <row r="40">
      <c r="B40" s="5"/>
      <c r="C40" s="110" t="s">
        <v>72</v>
      </c>
      <c r="D40" s="111"/>
      <c r="E40" s="78" t="s">
        <v>47</v>
      </c>
    </row>
    <row r="41">
      <c r="B41" s="5"/>
      <c r="C41" s="110" t="s">
        <v>73</v>
      </c>
      <c r="D41" s="111"/>
      <c r="E41" s="78" t="s">
        <v>74</v>
      </c>
    </row>
    <row r="42">
      <c r="B42" s="5"/>
      <c r="C42" s="110" t="s">
        <v>75</v>
      </c>
      <c r="D42" s="111"/>
      <c r="E42" s="112" t="s">
        <v>76</v>
      </c>
      <c r="F42" s="78"/>
    </row>
    <row r="43">
      <c r="B43" s="5"/>
      <c r="C43" s="110" t="s">
        <v>77</v>
      </c>
      <c r="D43" s="111"/>
      <c r="E43" s="113" t="s">
        <v>78</v>
      </c>
      <c r="F43" s="78"/>
    </row>
    <row r="44">
      <c r="B44" s="5"/>
      <c r="C44" s="110" t="s">
        <v>79</v>
      </c>
      <c r="D44" s="111"/>
      <c r="E44" s="114" t="s">
        <v>80</v>
      </c>
      <c r="F44" s="115"/>
    </row>
    <row r="45">
      <c r="B45" s="5"/>
      <c r="C45" s="116" t="s">
        <v>81</v>
      </c>
      <c r="D45" s="111"/>
      <c r="E45" s="117" t="s">
        <v>76</v>
      </c>
    </row>
    <row r="46">
      <c r="B46" s="5"/>
      <c r="C46" s="116" t="s">
        <v>82</v>
      </c>
      <c r="D46" s="111"/>
      <c r="E46" s="118" t="s">
        <v>78</v>
      </c>
    </row>
    <row r="47">
      <c r="B47" s="5"/>
      <c r="C47" s="116" t="s">
        <v>83</v>
      </c>
      <c r="D47" s="111"/>
      <c r="E47" s="119" t="s">
        <v>80</v>
      </c>
    </row>
    <row r="48">
      <c r="B48" s="5"/>
      <c r="C48" s="110" t="s">
        <v>84</v>
      </c>
      <c r="D48" s="111"/>
      <c r="E48" s="78" t="s">
        <v>85</v>
      </c>
    </row>
    <row r="49">
      <c r="B49" s="5"/>
      <c r="C49" s="110" t="s">
        <v>86</v>
      </c>
      <c r="D49" s="111"/>
      <c r="E49" s="120" t="s">
        <v>87</v>
      </c>
    </row>
    <row r="50">
      <c r="B50" s="5"/>
      <c r="C50" s="116" t="s">
        <v>88</v>
      </c>
      <c r="D50" s="111"/>
      <c r="E50" s="121" t="s">
        <v>89</v>
      </c>
    </row>
    <row r="51">
      <c r="B51" s="5"/>
      <c r="C51" s="116" t="s">
        <v>90</v>
      </c>
      <c r="D51" s="111"/>
      <c r="E51" s="121" t="s">
        <v>91</v>
      </c>
    </row>
    <row r="52">
      <c r="B52" s="5"/>
      <c r="C52" s="110" t="s">
        <v>92</v>
      </c>
      <c r="D52" s="111"/>
      <c r="E52" s="121" t="s">
        <v>93</v>
      </c>
    </row>
    <row r="53">
      <c r="B53" s="5"/>
      <c r="C53" s="110" t="s">
        <v>94</v>
      </c>
      <c r="D53" s="111"/>
      <c r="E53" s="120" t="s">
        <v>95</v>
      </c>
    </row>
    <row r="54">
      <c r="B54" s="5"/>
      <c r="C54" s="122" t="s">
        <v>96</v>
      </c>
      <c r="D54" s="123"/>
      <c r="E54" s="78" t="s">
        <v>97</v>
      </c>
    </row>
    <row r="55">
      <c r="B55" s="5"/>
      <c r="C55" s="124"/>
      <c r="D55" s="124"/>
    </row>
    <row r="56">
      <c r="B56" s="125" t="s">
        <v>98</v>
      </c>
      <c r="C56" s="107" t="s">
        <v>58</v>
      </c>
      <c r="D56" s="108"/>
      <c r="E56" s="109" t="s">
        <v>65</v>
      </c>
    </row>
    <row r="57">
      <c r="B57" s="5"/>
      <c r="C57" s="110" t="s">
        <v>72</v>
      </c>
      <c r="D57" s="111"/>
      <c r="E57" s="78" t="s">
        <v>99</v>
      </c>
    </row>
    <row r="58">
      <c r="B58" s="5"/>
      <c r="C58" s="110" t="s">
        <v>73</v>
      </c>
      <c r="D58" s="111"/>
      <c r="E58" s="78" t="s">
        <v>100</v>
      </c>
    </row>
    <row r="59">
      <c r="B59" s="5"/>
      <c r="C59" s="110" t="s">
        <v>75</v>
      </c>
      <c r="D59" s="111"/>
      <c r="E59" s="112" t="s">
        <v>76</v>
      </c>
      <c r="F59" s="78"/>
    </row>
    <row r="60">
      <c r="B60" s="5"/>
      <c r="C60" s="110" t="s">
        <v>77</v>
      </c>
      <c r="D60" s="111"/>
      <c r="E60" s="113" t="s">
        <v>78</v>
      </c>
      <c r="F60" s="78"/>
    </row>
    <row r="61">
      <c r="B61" s="5"/>
      <c r="C61" s="110" t="s">
        <v>79</v>
      </c>
      <c r="D61" s="111"/>
      <c r="E61" s="114" t="s">
        <v>80</v>
      </c>
      <c r="F61" s="115"/>
    </row>
    <row r="62">
      <c r="B62" s="5"/>
      <c r="C62" s="116" t="s">
        <v>81</v>
      </c>
      <c r="D62" s="111"/>
      <c r="E62" s="126" t="s">
        <v>101</v>
      </c>
    </row>
    <row r="63">
      <c r="B63" s="5"/>
      <c r="C63" s="116" t="s">
        <v>82</v>
      </c>
      <c r="D63" s="111"/>
      <c r="E63" s="127" t="s">
        <v>102</v>
      </c>
    </row>
    <row r="64">
      <c r="B64" s="5"/>
      <c r="C64" s="116" t="s">
        <v>83</v>
      </c>
      <c r="D64" s="111"/>
      <c r="E64" s="128" t="s">
        <v>103</v>
      </c>
    </row>
    <row r="65">
      <c r="B65" s="5"/>
      <c r="C65" s="110" t="s">
        <v>84</v>
      </c>
      <c r="D65" s="111"/>
      <c r="E65" s="78" t="s">
        <v>104</v>
      </c>
    </row>
    <row r="66">
      <c r="B66" s="5"/>
      <c r="C66" s="110" t="s">
        <v>86</v>
      </c>
      <c r="D66" s="111"/>
      <c r="E66" s="120" t="s">
        <v>105</v>
      </c>
    </row>
    <row r="67">
      <c r="B67" s="5"/>
      <c r="C67" s="116" t="s">
        <v>88</v>
      </c>
      <c r="D67" s="111"/>
      <c r="E67" s="121" t="s">
        <v>106</v>
      </c>
    </row>
    <row r="68">
      <c r="B68" s="5"/>
      <c r="C68" s="116" t="s">
        <v>90</v>
      </c>
      <c r="D68" s="111"/>
      <c r="E68" s="121" t="s">
        <v>107</v>
      </c>
    </row>
    <row r="69">
      <c r="B69" s="5"/>
      <c r="C69" s="110" t="s">
        <v>92</v>
      </c>
      <c r="D69" s="111"/>
      <c r="E69" s="121" t="s">
        <v>108</v>
      </c>
    </row>
    <row r="70">
      <c r="B70" s="5"/>
      <c r="C70" s="110" t="s">
        <v>94</v>
      </c>
      <c r="D70" s="111"/>
      <c r="E70" s="78" t="s">
        <v>109</v>
      </c>
    </row>
    <row r="71">
      <c r="B71" s="5"/>
      <c r="C71" s="122" t="s">
        <v>96</v>
      </c>
      <c r="D71" s="123"/>
      <c r="E71" s="78" t="s">
        <v>97</v>
      </c>
    </row>
    <row r="72">
      <c r="B72" s="5"/>
      <c r="C72" s="124"/>
      <c r="D72" s="124"/>
    </row>
    <row r="73">
      <c r="B73" s="129" t="s">
        <v>110</v>
      </c>
      <c r="C73" s="107" t="s">
        <v>58</v>
      </c>
      <c r="D73" s="108"/>
      <c r="E73" s="130" t="s">
        <v>111</v>
      </c>
    </row>
    <row r="74">
      <c r="B74" s="131"/>
      <c r="C74" s="110" t="s">
        <v>72</v>
      </c>
      <c r="D74" s="111"/>
      <c r="E74" s="78" t="s">
        <v>112</v>
      </c>
    </row>
    <row r="75">
      <c r="B75" s="131"/>
      <c r="C75" s="110" t="s">
        <v>73</v>
      </c>
      <c r="D75" s="111"/>
      <c r="E75" s="78" t="s">
        <v>113</v>
      </c>
    </row>
    <row r="76">
      <c r="B76" s="131"/>
      <c r="C76" s="110" t="s">
        <v>75</v>
      </c>
      <c r="D76" s="111"/>
      <c r="E76" s="112" t="s">
        <v>76</v>
      </c>
      <c r="F76" s="78"/>
    </row>
    <row r="77">
      <c r="B77" s="131"/>
      <c r="C77" s="110" t="s">
        <v>77</v>
      </c>
      <c r="D77" s="111"/>
      <c r="E77" s="113" t="s">
        <v>78</v>
      </c>
      <c r="F77" s="78"/>
    </row>
    <row r="78">
      <c r="B78" s="131"/>
      <c r="C78" s="110" t="s">
        <v>79</v>
      </c>
      <c r="D78" s="111"/>
      <c r="E78" s="114" t="s">
        <v>80</v>
      </c>
      <c r="F78" s="115"/>
    </row>
    <row r="79">
      <c r="B79" s="131"/>
      <c r="C79" s="116" t="s">
        <v>81</v>
      </c>
      <c r="D79" s="111"/>
      <c r="E79" s="132" t="s">
        <v>114</v>
      </c>
      <c r="F79" s="5"/>
    </row>
    <row r="80">
      <c r="B80" s="131"/>
      <c r="C80" s="116" t="s">
        <v>82</v>
      </c>
      <c r="D80" s="111"/>
      <c r="E80" s="127" t="s">
        <v>102</v>
      </c>
      <c r="F80" s="5"/>
    </row>
    <row r="81">
      <c r="B81" s="131"/>
      <c r="C81" s="116" t="s">
        <v>83</v>
      </c>
      <c r="D81" s="111"/>
      <c r="E81" s="128" t="s">
        <v>115</v>
      </c>
      <c r="F81" s="5"/>
    </row>
    <row r="82">
      <c r="B82" s="131"/>
      <c r="C82" s="110" t="s">
        <v>84</v>
      </c>
      <c r="D82" s="111"/>
      <c r="E82" s="78" t="s">
        <v>116</v>
      </c>
    </row>
    <row r="83">
      <c r="B83" s="131"/>
      <c r="C83" s="110" t="s">
        <v>86</v>
      </c>
      <c r="D83" s="111"/>
      <c r="E83" s="120" t="s">
        <v>117</v>
      </c>
    </row>
    <row r="84">
      <c r="B84" s="131"/>
      <c r="C84" s="116" t="s">
        <v>88</v>
      </c>
      <c r="D84" s="111"/>
      <c r="E84" s="121" t="s">
        <v>118</v>
      </c>
    </row>
    <row r="85">
      <c r="B85" s="131"/>
      <c r="C85" s="116" t="s">
        <v>90</v>
      </c>
      <c r="D85" s="111"/>
      <c r="E85" s="121" t="s">
        <v>119</v>
      </c>
    </row>
    <row r="86">
      <c r="B86" s="131"/>
      <c r="C86" s="110" t="s">
        <v>92</v>
      </c>
      <c r="D86" s="111"/>
      <c r="E86" s="121" t="s">
        <v>120</v>
      </c>
    </row>
    <row r="87">
      <c r="B87" s="131"/>
      <c r="C87" s="110" t="s">
        <v>94</v>
      </c>
      <c r="D87" s="111"/>
      <c r="E87" s="78" t="s">
        <v>121</v>
      </c>
    </row>
    <row r="88">
      <c r="B88" s="131"/>
      <c r="C88" s="122" t="s">
        <v>96</v>
      </c>
      <c r="D88" s="123"/>
      <c r="E88" s="78" t="s">
        <v>97</v>
      </c>
    </row>
    <row r="89">
      <c r="B89" s="5"/>
      <c r="C89" s="124"/>
      <c r="D89" s="124"/>
    </row>
    <row r="90">
      <c r="B90" s="129" t="s">
        <v>122</v>
      </c>
      <c r="C90" s="107" t="s">
        <v>58</v>
      </c>
      <c r="D90" s="108"/>
      <c r="E90" s="109" t="s">
        <v>123</v>
      </c>
    </row>
    <row r="91">
      <c r="B91" s="133"/>
      <c r="C91" s="110" t="s">
        <v>72</v>
      </c>
      <c r="D91" s="111"/>
      <c r="E91" s="78" t="s">
        <v>124</v>
      </c>
    </row>
    <row r="92">
      <c r="B92" s="133"/>
      <c r="C92" s="110" t="s">
        <v>73</v>
      </c>
      <c r="D92" s="111"/>
      <c r="E92" s="78" t="s">
        <v>125</v>
      </c>
    </row>
    <row r="93">
      <c r="B93" s="133"/>
      <c r="C93" s="110" t="s">
        <v>75</v>
      </c>
      <c r="D93" s="111"/>
      <c r="E93" s="117" t="s">
        <v>76</v>
      </c>
      <c r="F93" s="78"/>
    </row>
    <row r="94">
      <c r="B94" s="133"/>
      <c r="C94" s="110" t="s">
        <v>77</v>
      </c>
      <c r="D94" s="111"/>
      <c r="E94" s="113" t="s">
        <v>76</v>
      </c>
      <c r="F94" s="78"/>
    </row>
    <row r="95">
      <c r="B95" s="133"/>
      <c r="C95" s="110" t="s">
        <v>79</v>
      </c>
      <c r="D95" s="111"/>
      <c r="E95" s="119" t="s">
        <v>80</v>
      </c>
      <c r="F95" s="115"/>
    </row>
    <row r="96">
      <c r="B96" s="133"/>
      <c r="C96" s="110" t="s">
        <v>81</v>
      </c>
      <c r="D96" s="111"/>
      <c r="E96" s="132" t="s">
        <v>126</v>
      </c>
      <c r="F96" s="5"/>
    </row>
    <row r="97">
      <c r="B97" s="133"/>
      <c r="C97" s="110" t="s">
        <v>82</v>
      </c>
      <c r="D97" s="111"/>
      <c r="E97" s="118" t="s">
        <v>76</v>
      </c>
      <c r="F97" s="5"/>
    </row>
    <row r="98">
      <c r="B98" s="133"/>
      <c r="C98" s="110" t="s">
        <v>83</v>
      </c>
      <c r="D98" s="111"/>
      <c r="E98" s="128" t="s">
        <v>127</v>
      </c>
      <c r="F98" s="5"/>
    </row>
    <row r="99">
      <c r="B99" s="133"/>
      <c r="C99" s="110" t="s">
        <v>84</v>
      </c>
      <c r="D99" s="111"/>
      <c r="E99" s="78" t="s">
        <v>128</v>
      </c>
    </row>
    <row r="100">
      <c r="B100" s="133"/>
      <c r="C100" s="110" t="s">
        <v>86</v>
      </c>
      <c r="D100" s="111"/>
      <c r="E100" s="78" t="s">
        <v>129</v>
      </c>
    </row>
    <row r="101">
      <c r="B101" s="133"/>
      <c r="C101" s="110" t="s">
        <v>88</v>
      </c>
      <c r="D101" s="111"/>
      <c r="E101" s="133" t="s">
        <v>130</v>
      </c>
    </row>
    <row r="102">
      <c r="B102" s="133"/>
      <c r="C102" s="110" t="s">
        <v>90</v>
      </c>
      <c r="D102" s="111"/>
      <c r="E102" s="133" t="s">
        <v>131</v>
      </c>
    </row>
    <row r="103">
      <c r="B103" s="133"/>
      <c r="C103" s="110" t="s">
        <v>92</v>
      </c>
      <c r="D103" s="111"/>
      <c r="E103" s="133" t="s">
        <v>132</v>
      </c>
    </row>
    <row r="104">
      <c r="B104" s="133"/>
      <c r="C104" s="110" t="s">
        <v>94</v>
      </c>
      <c r="D104" s="111"/>
      <c r="E104" s="78" t="s">
        <v>133</v>
      </c>
    </row>
    <row r="105">
      <c r="B105" s="133"/>
      <c r="C105" s="122" t="s">
        <v>96</v>
      </c>
      <c r="D105" s="123"/>
      <c r="E105" s="78" t="s">
        <v>134</v>
      </c>
    </row>
    <row r="106">
      <c r="B106" s="5"/>
      <c r="C106" s="124"/>
      <c r="D106" s="124"/>
    </row>
    <row r="107">
      <c r="B107" s="129" t="s">
        <v>135</v>
      </c>
      <c r="C107" s="107" t="s">
        <v>58</v>
      </c>
      <c r="D107" s="108"/>
      <c r="E107" s="109" t="s">
        <v>136</v>
      </c>
    </row>
    <row r="108">
      <c r="B108" s="133"/>
      <c r="C108" s="110" t="s">
        <v>72</v>
      </c>
      <c r="D108" s="111"/>
      <c r="E108" s="78" t="s">
        <v>124</v>
      </c>
    </row>
    <row r="109">
      <c r="B109" s="133"/>
      <c r="C109" s="110" t="s">
        <v>73</v>
      </c>
      <c r="D109" s="111"/>
      <c r="E109" s="78" t="s">
        <v>137</v>
      </c>
    </row>
    <row r="110">
      <c r="B110" s="133"/>
      <c r="C110" s="110" t="s">
        <v>75</v>
      </c>
      <c r="D110" s="111"/>
      <c r="E110" s="117" t="s">
        <v>76</v>
      </c>
      <c r="F110" s="78"/>
    </row>
    <row r="111">
      <c r="B111" s="133"/>
      <c r="C111" s="110" t="s">
        <v>77</v>
      </c>
      <c r="D111" s="111"/>
      <c r="E111" s="113" t="s">
        <v>76</v>
      </c>
      <c r="F111" s="78"/>
    </row>
    <row r="112">
      <c r="B112" s="133"/>
      <c r="C112" s="110" t="s">
        <v>79</v>
      </c>
      <c r="D112" s="111"/>
      <c r="E112" s="119" t="s">
        <v>80</v>
      </c>
      <c r="F112" s="115"/>
    </row>
    <row r="113">
      <c r="B113" s="133"/>
      <c r="C113" s="110" t="s">
        <v>81</v>
      </c>
      <c r="D113" s="111"/>
      <c r="E113" s="132" t="s">
        <v>126</v>
      </c>
      <c r="F113" s="5"/>
    </row>
    <row r="114">
      <c r="B114" s="133"/>
      <c r="C114" s="110" t="s">
        <v>82</v>
      </c>
      <c r="D114" s="111"/>
      <c r="E114" s="118" t="s">
        <v>76</v>
      </c>
      <c r="F114" s="5"/>
    </row>
    <row r="115">
      <c r="B115" s="133"/>
      <c r="C115" s="110" t="s">
        <v>83</v>
      </c>
      <c r="D115" s="111"/>
      <c r="E115" s="128" t="s">
        <v>127</v>
      </c>
      <c r="F115" s="5"/>
    </row>
    <row r="116">
      <c r="B116" s="133"/>
      <c r="C116" s="110" t="s">
        <v>84</v>
      </c>
      <c r="D116" s="111"/>
      <c r="E116" s="78" t="s">
        <v>138</v>
      </c>
    </row>
    <row r="117">
      <c r="B117" s="133"/>
      <c r="C117" s="110" t="s">
        <v>86</v>
      </c>
      <c r="D117" s="111"/>
      <c r="E117" s="78" t="s">
        <v>139</v>
      </c>
    </row>
    <row r="118">
      <c r="B118" s="133"/>
      <c r="C118" s="110" t="s">
        <v>88</v>
      </c>
      <c r="D118" s="111"/>
      <c r="E118" s="133" t="s">
        <v>140</v>
      </c>
    </row>
    <row r="119">
      <c r="B119" s="133"/>
      <c r="C119" s="110" t="s">
        <v>90</v>
      </c>
      <c r="D119" s="111"/>
      <c r="E119" s="133" t="s">
        <v>141</v>
      </c>
    </row>
    <row r="120">
      <c r="B120" s="133"/>
      <c r="C120" s="110" t="s">
        <v>92</v>
      </c>
      <c r="D120" s="111"/>
      <c r="E120" s="133" t="s">
        <v>132</v>
      </c>
    </row>
    <row r="121">
      <c r="B121" s="133"/>
      <c r="C121" s="110" t="s">
        <v>94</v>
      </c>
      <c r="D121" s="111"/>
      <c r="E121" s="78" t="s">
        <v>142</v>
      </c>
    </row>
    <row r="122">
      <c r="B122" s="133"/>
      <c r="C122" s="122" t="s">
        <v>96</v>
      </c>
      <c r="D122" s="123"/>
      <c r="E122" s="78" t="s">
        <v>143</v>
      </c>
    </row>
    <row r="123">
      <c r="B123" s="5"/>
      <c r="C123" s="124"/>
      <c r="D123" s="124"/>
    </row>
    <row r="124">
      <c r="B124" s="129" t="s">
        <v>144</v>
      </c>
      <c r="C124" s="107" t="s">
        <v>58</v>
      </c>
      <c r="D124" s="108"/>
      <c r="E124" s="130" t="s">
        <v>145</v>
      </c>
    </row>
    <row r="125">
      <c r="B125" s="131"/>
      <c r="C125" s="110" t="s">
        <v>72</v>
      </c>
      <c r="D125" s="111"/>
      <c r="E125" s="78" t="s">
        <v>124</v>
      </c>
    </row>
    <row r="126">
      <c r="B126" s="131"/>
      <c r="C126" s="110" t="s">
        <v>73</v>
      </c>
      <c r="D126" s="111"/>
      <c r="E126" s="120" t="s">
        <v>146</v>
      </c>
    </row>
    <row r="127">
      <c r="B127" s="131"/>
      <c r="C127" s="110" t="s">
        <v>75</v>
      </c>
      <c r="D127" s="111"/>
      <c r="E127" s="117" t="s">
        <v>76</v>
      </c>
      <c r="F127" s="78"/>
    </row>
    <row r="128">
      <c r="B128" s="131"/>
      <c r="C128" s="110" t="s">
        <v>77</v>
      </c>
      <c r="D128" s="111"/>
      <c r="E128" s="113" t="s">
        <v>147</v>
      </c>
      <c r="F128" s="78"/>
    </row>
    <row r="129">
      <c r="B129" s="131"/>
      <c r="C129" s="110" t="s">
        <v>79</v>
      </c>
      <c r="D129" s="111"/>
      <c r="E129" s="119" t="s">
        <v>148</v>
      </c>
      <c r="F129" s="115"/>
    </row>
    <row r="130">
      <c r="B130" s="131"/>
      <c r="C130" s="116" t="s">
        <v>81</v>
      </c>
      <c r="D130" s="111"/>
      <c r="E130" s="132" t="s">
        <v>126</v>
      </c>
      <c r="F130" s="5"/>
    </row>
    <row r="131">
      <c r="B131" s="131"/>
      <c r="C131" s="116" t="s">
        <v>82</v>
      </c>
      <c r="D131" s="111"/>
      <c r="E131" s="118" t="s">
        <v>76</v>
      </c>
      <c r="F131" s="5"/>
    </row>
    <row r="132">
      <c r="B132" s="131"/>
      <c r="C132" s="116" t="s">
        <v>83</v>
      </c>
      <c r="D132" s="111"/>
      <c r="E132" s="128" t="s">
        <v>127</v>
      </c>
      <c r="F132" s="5"/>
    </row>
    <row r="133">
      <c r="B133" s="131"/>
      <c r="C133" s="110" t="s">
        <v>84</v>
      </c>
      <c r="D133" s="111"/>
      <c r="E133" s="120" t="s">
        <v>149</v>
      </c>
    </row>
    <row r="134">
      <c r="B134" s="131"/>
      <c r="C134" s="110" t="s">
        <v>86</v>
      </c>
      <c r="D134" s="111"/>
      <c r="E134" s="120" t="s">
        <v>150</v>
      </c>
    </row>
    <row r="135">
      <c r="B135" s="131"/>
      <c r="C135" s="116" t="s">
        <v>88</v>
      </c>
      <c r="D135" s="111"/>
      <c r="E135" s="121" t="s">
        <v>151</v>
      </c>
    </row>
    <row r="136">
      <c r="B136" s="131"/>
      <c r="C136" s="116" t="s">
        <v>90</v>
      </c>
      <c r="D136" s="111"/>
      <c r="E136" s="121" t="s">
        <v>152</v>
      </c>
    </row>
    <row r="137">
      <c r="B137" s="131"/>
      <c r="C137" s="110" t="s">
        <v>92</v>
      </c>
      <c r="D137" s="111"/>
      <c r="E137" s="121" t="s">
        <v>132</v>
      </c>
    </row>
    <row r="138">
      <c r="B138" s="131"/>
      <c r="C138" s="110" t="s">
        <v>94</v>
      </c>
      <c r="D138" s="111"/>
      <c r="E138" s="120" t="s">
        <v>153</v>
      </c>
    </row>
    <row r="139">
      <c r="B139" s="131"/>
      <c r="C139" s="122" t="s">
        <v>96</v>
      </c>
      <c r="D139" s="123"/>
      <c r="E139" s="78" t="s">
        <v>143</v>
      </c>
    </row>
    <row r="140">
      <c r="B140" s="5"/>
      <c r="C140" s="124"/>
      <c r="D140" s="124"/>
    </row>
    <row r="141">
      <c r="B141" s="129" t="s">
        <v>154</v>
      </c>
      <c r="C141" s="107" t="s">
        <v>58</v>
      </c>
      <c r="D141" s="108"/>
      <c r="E141" s="134" t="s">
        <v>68</v>
      </c>
    </row>
    <row r="142">
      <c r="B142" s="133"/>
      <c r="C142" s="110" t="s">
        <v>72</v>
      </c>
      <c r="D142" s="111"/>
      <c r="E142" s="78" t="s">
        <v>124</v>
      </c>
    </row>
    <row r="143">
      <c r="B143" s="133"/>
      <c r="C143" s="110" t="s">
        <v>73</v>
      </c>
      <c r="D143" s="111"/>
      <c r="E143" s="135" t="s">
        <v>155</v>
      </c>
    </row>
    <row r="144">
      <c r="B144" s="133"/>
      <c r="C144" s="110" t="s">
        <v>75</v>
      </c>
      <c r="D144" s="111"/>
      <c r="E144" s="136" t="s">
        <v>101</v>
      </c>
      <c r="F144" s="78"/>
    </row>
    <row r="145">
      <c r="B145" s="133"/>
      <c r="C145" s="110" t="s">
        <v>77</v>
      </c>
      <c r="D145" s="111"/>
      <c r="E145" s="137" t="s">
        <v>156</v>
      </c>
      <c r="F145" s="78"/>
    </row>
    <row r="146">
      <c r="B146" s="133"/>
      <c r="C146" s="110" t="s">
        <v>79</v>
      </c>
      <c r="D146" s="111"/>
      <c r="E146" s="138" t="s">
        <v>157</v>
      </c>
      <c r="F146" s="115"/>
    </row>
    <row r="147">
      <c r="B147" s="133"/>
      <c r="C147" s="139" t="s">
        <v>81</v>
      </c>
      <c r="D147" s="111"/>
      <c r="E147" s="140" t="s">
        <v>126</v>
      </c>
      <c r="F147" s="5"/>
    </row>
    <row r="148">
      <c r="B148" s="133"/>
      <c r="C148" s="139" t="s">
        <v>82</v>
      </c>
      <c r="D148" s="111"/>
      <c r="E148" s="141" t="s">
        <v>78</v>
      </c>
      <c r="F148" s="5"/>
    </row>
    <row r="149">
      <c r="B149" s="133"/>
      <c r="C149" s="139" t="s">
        <v>83</v>
      </c>
      <c r="D149" s="111"/>
      <c r="E149" s="142" t="s">
        <v>127</v>
      </c>
      <c r="F149" s="5"/>
    </row>
    <row r="150">
      <c r="B150" s="133"/>
      <c r="C150" s="110" t="s">
        <v>84</v>
      </c>
      <c r="D150" s="111"/>
      <c r="E150" s="135" t="s">
        <v>158</v>
      </c>
    </row>
    <row r="151">
      <c r="B151" s="133"/>
      <c r="C151" s="110" t="s">
        <v>86</v>
      </c>
      <c r="D151" s="111"/>
      <c r="E151" s="135" t="s">
        <v>159</v>
      </c>
    </row>
    <row r="152">
      <c r="B152" s="133"/>
      <c r="C152" s="139" t="s">
        <v>88</v>
      </c>
      <c r="D152" s="111"/>
      <c r="E152" s="143" t="s">
        <v>160</v>
      </c>
    </row>
    <row r="153">
      <c r="B153" s="133"/>
      <c r="C153" s="139" t="s">
        <v>90</v>
      </c>
      <c r="D153" s="111"/>
      <c r="E153" s="143" t="s">
        <v>161</v>
      </c>
    </row>
    <row r="154">
      <c r="B154" s="133"/>
      <c r="C154" s="110" t="s">
        <v>92</v>
      </c>
      <c r="D154" s="111"/>
      <c r="E154" s="143" t="s">
        <v>108</v>
      </c>
    </row>
    <row r="155">
      <c r="B155" s="133"/>
      <c r="C155" s="110" t="s">
        <v>94</v>
      </c>
      <c r="D155" s="111"/>
      <c r="E155" s="135" t="s">
        <v>162</v>
      </c>
    </row>
    <row r="156">
      <c r="B156" s="133"/>
      <c r="C156" s="122" t="s">
        <v>96</v>
      </c>
      <c r="D156" s="123"/>
      <c r="E156" s="78" t="s">
        <v>97</v>
      </c>
    </row>
    <row r="157">
      <c r="B157" s="5"/>
      <c r="C157" s="124"/>
      <c r="D157" s="124"/>
    </row>
    <row r="158">
      <c r="B158" s="129" t="s">
        <v>163</v>
      </c>
      <c r="C158" s="107" t="s">
        <v>58</v>
      </c>
      <c r="D158" s="108"/>
      <c r="E158" s="130" t="s">
        <v>164</v>
      </c>
    </row>
    <row r="159">
      <c r="B159" s="131"/>
      <c r="C159" s="110" t="s">
        <v>72</v>
      </c>
      <c r="D159" s="111"/>
      <c r="E159" s="78" t="s">
        <v>124</v>
      </c>
    </row>
    <row r="160">
      <c r="B160" s="131"/>
      <c r="C160" s="110" t="s">
        <v>73</v>
      </c>
      <c r="D160" s="111"/>
      <c r="E160" s="120" t="s">
        <v>165</v>
      </c>
    </row>
    <row r="161">
      <c r="B161" s="131"/>
      <c r="C161" s="110" t="s">
        <v>75</v>
      </c>
      <c r="D161" s="111"/>
      <c r="E161" s="126" t="s">
        <v>101</v>
      </c>
      <c r="F161" s="78"/>
    </row>
    <row r="162">
      <c r="B162" s="131"/>
      <c r="C162" s="110" t="s">
        <v>77</v>
      </c>
      <c r="D162" s="111"/>
      <c r="E162" s="144" t="s">
        <v>156</v>
      </c>
      <c r="F162" s="78"/>
    </row>
    <row r="163">
      <c r="B163" s="131"/>
      <c r="C163" s="110" t="s">
        <v>79</v>
      </c>
      <c r="D163" s="111"/>
      <c r="E163" s="119" t="s">
        <v>157</v>
      </c>
      <c r="F163" s="115"/>
    </row>
    <row r="164">
      <c r="B164" s="131"/>
      <c r="C164" s="116" t="s">
        <v>81</v>
      </c>
      <c r="D164" s="111"/>
      <c r="E164" s="145" t="s">
        <v>166</v>
      </c>
      <c r="F164" s="5"/>
    </row>
    <row r="165">
      <c r="B165" s="131"/>
      <c r="C165" s="116" t="s">
        <v>82</v>
      </c>
      <c r="D165" s="111"/>
      <c r="E165" s="146" t="s">
        <v>156</v>
      </c>
      <c r="F165" s="5"/>
    </row>
    <row r="166">
      <c r="B166" s="131"/>
      <c r="C166" s="116" t="s">
        <v>83</v>
      </c>
      <c r="D166" s="111"/>
      <c r="E166" s="128" t="s">
        <v>167</v>
      </c>
      <c r="F166" s="5"/>
    </row>
    <row r="167">
      <c r="B167" s="131"/>
      <c r="C167" s="110" t="s">
        <v>84</v>
      </c>
      <c r="D167" s="111"/>
      <c r="E167" s="120" t="s">
        <v>168</v>
      </c>
    </row>
    <row r="168">
      <c r="B168" s="131"/>
      <c r="C168" s="110" t="s">
        <v>86</v>
      </c>
      <c r="D168" s="111"/>
      <c r="E168" s="120" t="s">
        <v>169</v>
      </c>
    </row>
    <row r="169">
      <c r="B169" s="131"/>
      <c r="C169" s="116" t="s">
        <v>88</v>
      </c>
      <c r="D169" s="111"/>
      <c r="E169" s="121" t="s">
        <v>170</v>
      </c>
    </row>
    <row r="170">
      <c r="B170" s="131"/>
      <c r="C170" s="116" t="s">
        <v>90</v>
      </c>
      <c r="D170" s="111"/>
      <c r="E170" s="121" t="s">
        <v>171</v>
      </c>
    </row>
    <row r="171">
      <c r="B171" s="131"/>
      <c r="C171" s="110" t="s">
        <v>92</v>
      </c>
      <c r="D171" s="111"/>
      <c r="E171" s="121" t="s">
        <v>172</v>
      </c>
    </row>
    <row r="172">
      <c r="B172" s="131"/>
      <c r="C172" s="110" t="s">
        <v>94</v>
      </c>
      <c r="D172" s="111"/>
      <c r="E172" s="120" t="s">
        <v>173</v>
      </c>
    </row>
    <row r="173">
      <c r="B173" s="131"/>
      <c r="C173" s="122" t="s">
        <v>96</v>
      </c>
      <c r="D173" s="123"/>
      <c r="E173" s="120" t="s">
        <v>134</v>
      </c>
    </row>
    <row r="175">
      <c r="B175" s="147" t="s">
        <v>174</v>
      </c>
      <c r="C175" s="107" t="s">
        <v>58</v>
      </c>
      <c r="D175" s="108"/>
      <c r="E175" s="134" t="s">
        <v>175</v>
      </c>
    </row>
    <row r="176">
      <c r="B176" s="133"/>
      <c r="C176" s="110" t="s">
        <v>72</v>
      </c>
      <c r="D176" s="111"/>
      <c r="E176" s="135" t="s">
        <v>176</v>
      </c>
    </row>
    <row r="177">
      <c r="B177" s="133"/>
      <c r="C177" s="110" t="s">
        <v>73</v>
      </c>
      <c r="D177" s="111"/>
      <c r="E177" s="135" t="s">
        <v>177</v>
      </c>
    </row>
    <row r="178">
      <c r="B178" s="133"/>
      <c r="C178" s="110" t="s">
        <v>75</v>
      </c>
      <c r="D178" s="111"/>
      <c r="E178" s="148" t="s">
        <v>76</v>
      </c>
      <c r="F178" s="78"/>
    </row>
    <row r="179">
      <c r="B179" s="133"/>
      <c r="C179" s="110" t="s">
        <v>77</v>
      </c>
      <c r="D179" s="111"/>
      <c r="E179" s="149" t="s">
        <v>102</v>
      </c>
      <c r="F179" s="78"/>
    </row>
    <row r="180">
      <c r="B180" s="133"/>
      <c r="C180" s="110" t="s">
        <v>79</v>
      </c>
      <c r="D180" s="111"/>
      <c r="E180" s="150" t="s">
        <v>178</v>
      </c>
      <c r="F180" s="115"/>
    </row>
    <row r="181">
      <c r="B181" s="133"/>
      <c r="C181" s="139" t="s">
        <v>81</v>
      </c>
      <c r="D181" s="111"/>
      <c r="E181" s="140" t="s">
        <v>126</v>
      </c>
      <c r="F181" s="5"/>
    </row>
    <row r="182">
      <c r="B182" s="133"/>
      <c r="C182" s="139" t="s">
        <v>82</v>
      </c>
      <c r="D182" s="111"/>
      <c r="E182" s="151" t="s">
        <v>102</v>
      </c>
      <c r="F182" s="5"/>
    </row>
    <row r="183">
      <c r="B183" s="133"/>
      <c r="C183" s="139" t="s">
        <v>83</v>
      </c>
      <c r="D183" s="111"/>
      <c r="E183" s="142" t="s">
        <v>115</v>
      </c>
      <c r="F183" s="5"/>
    </row>
    <row r="184">
      <c r="B184" s="133"/>
      <c r="C184" s="110" t="s">
        <v>84</v>
      </c>
      <c r="D184" s="111"/>
      <c r="E184" s="135" t="s">
        <v>179</v>
      </c>
    </row>
    <row r="185">
      <c r="B185" s="133"/>
      <c r="C185" s="110" t="s">
        <v>86</v>
      </c>
      <c r="D185" s="111"/>
      <c r="E185" s="135" t="s">
        <v>180</v>
      </c>
    </row>
    <row r="186">
      <c r="B186" s="133"/>
      <c r="C186" s="139" t="s">
        <v>88</v>
      </c>
      <c r="D186" s="111"/>
      <c r="E186" s="143" t="s">
        <v>181</v>
      </c>
    </row>
    <row r="187">
      <c r="B187" s="133"/>
      <c r="C187" s="139" t="s">
        <v>90</v>
      </c>
      <c r="D187" s="111"/>
      <c r="E187" s="143" t="s">
        <v>182</v>
      </c>
    </row>
    <row r="188">
      <c r="B188" s="133"/>
      <c r="C188" s="110" t="s">
        <v>92</v>
      </c>
      <c r="D188" s="111"/>
      <c r="E188" s="143" t="s">
        <v>183</v>
      </c>
    </row>
    <row r="189">
      <c r="B189" s="133"/>
      <c r="C189" s="110" t="s">
        <v>94</v>
      </c>
      <c r="D189" s="111"/>
      <c r="E189" s="143"/>
    </row>
    <row r="190">
      <c r="B190" s="133"/>
      <c r="C190" s="122" t="s">
        <v>96</v>
      </c>
      <c r="D190" s="123"/>
      <c r="E190" s="135" t="s">
        <v>97</v>
      </c>
    </row>
    <row r="192">
      <c r="B192" s="147" t="s">
        <v>184</v>
      </c>
      <c r="C192" s="107" t="s">
        <v>58</v>
      </c>
      <c r="D192" s="108"/>
      <c r="E192" s="134" t="s">
        <v>185</v>
      </c>
    </row>
    <row r="193">
      <c r="B193" s="133"/>
      <c r="C193" s="110" t="s">
        <v>72</v>
      </c>
      <c r="D193" s="111"/>
      <c r="E193" s="135" t="s">
        <v>186</v>
      </c>
    </row>
    <row r="194">
      <c r="B194" s="133"/>
      <c r="C194" s="110" t="s">
        <v>73</v>
      </c>
      <c r="D194" s="111"/>
      <c r="E194" s="135" t="s">
        <v>187</v>
      </c>
    </row>
    <row r="195">
      <c r="B195" s="133"/>
      <c r="C195" s="110" t="s">
        <v>75</v>
      </c>
      <c r="D195" s="111"/>
      <c r="E195" s="136" t="s">
        <v>101</v>
      </c>
      <c r="F195" s="78"/>
    </row>
    <row r="196">
      <c r="B196" s="133"/>
      <c r="C196" s="110" t="s">
        <v>77</v>
      </c>
      <c r="D196" s="111"/>
      <c r="E196" s="152" t="s">
        <v>78</v>
      </c>
      <c r="F196" s="78"/>
    </row>
    <row r="197">
      <c r="B197" s="133"/>
      <c r="C197" s="110" t="s">
        <v>79</v>
      </c>
      <c r="D197" s="111"/>
      <c r="E197" s="150" t="s">
        <v>178</v>
      </c>
      <c r="F197" s="115"/>
    </row>
    <row r="198">
      <c r="B198" s="133"/>
      <c r="C198" s="139" t="s">
        <v>81</v>
      </c>
      <c r="D198" s="111"/>
      <c r="E198" s="140" t="s">
        <v>126</v>
      </c>
      <c r="F198" s="5"/>
    </row>
    <row r="199">
      <c r="B199" s="133"/>
      <c r="C199" s="139" t="s">
        <v>82</v>
      </c>
      <c r="D199" s="111"/>
      <c r="E199" s="153" t="s">
        <v>188</v>
      </c>
      <c r="F199" s="5"/>
    </row>
    <row r="200">
      <c r="B200" s="133"/>
      <c r="C200" s="139" t="s">
        <v>83</v>
      </c>
      <c r="D200" s="111"/>
      <c r="E200" s="154" t="s">
        <v>189</v>
      </c>
      <c r="F200" s="5"/>
    </row>
    <row r="201">
      <c r="B201" s="133"/>
      <c r="C201" s="110" t="s">
        <v>84</v>
      </c>
      <c r="D201" s="111"/>
      <c r="E201" s="155" t="s">
        <v>190</v>
      </c>
    </row>
    <row r="202">
      <c r="B202" s="133"/>
      <c r="C202" s="110" t="s">
        <v>86</v>
      </c>
      <c r="D202" s="111"/>
      <c r="E202" s="155" t="s">
        <v>191</v>
      </c>
    </row>
    <row r="203">
      <c r="B203" s="133"/>
      <c r="C203" s="139" t="s">
        <v>88</v>
      </c>
      <c r="D203" s="111"/>
      <c r="E203" s="143" t="s">
        <v>192</v>
      </c>
    </row>
    <row r="204">
      <c r="B204" s="133"/>
      <c r="C204" s="139" t="s">
        <v>90</v>
      </c>
      <c r="D204" s="111"/>
      <c r="E204" s="143" t="s">
        <v>193</v>
      </c>
    </row>
    <row r="205">
      <c r="B205" s="133"/>
      <c r="C205" s="110" t="s">
        <v>92</v>
      </c>
      <c r="D205" s="111"/>
      <c r="E205" s="143" t="s">
        <v>108</v>
      </c>
    </row>
    <row r="206">
      <c r="B206" s="133"/>
      <c r="C206" s="110" t="s">
        <v>94</v>
      </c>
      <c r="D206" s="111"/>
      <c r="E206" s="143"/>
    </row>
    <row r="207">
      <c r="B207" s="133"/>
      <c r="C207" s="122" t="s">
        <v>96</v>
      </c>
      <c r="D207" s="123"/>
      <c r="E207" s="135" t="s">
        <v>97</v>
      </c>
    </row>
    <row r="209">
      <c r="B209" s="147" t="s">
        <v>194</v>
      </c>
      <c r="C209" s="107" t="s">
        <v>58</v>
      </c>
      <c r="D209" s="108"/>
      <c r="E209" s="134" t="s">
        <v>195</v>
      </c>
    </row>
    <row r="210">
      <c r="B210" s="133"/>
      <c r="C210" s="110" t="s">
        <v>72</v>
      </c>
      <c r="D210" s="111"/>
      <c r="E210" s="135" t="s">
        <v>196</v>
      </c>
      <c r="N210" s="156"/>
      <c r="O210" s="156"/>
      <c r="P210" s="156"/>
      <c r="Q210" s="156"/>
      <c r="R210" s="156"/>
      <c r="S210" s="156"/>
      <c r="T210" s="156"/>
      <c r="U210" s="156"/>
      <c r="V210" s="156"/>
      <c r="W210" s="156"/>
      <c r="X210" s="156"/>
      <c r="Y210" s="156"/>
      <c r="Z210" s="156"/>
      <c r="AA210" s="156"/>
    </row>
    <row r="211">
      <c r="B211" s="133"/>
      <c r="C211" s="110" t="s">
        <v>73</v>
      </c>
      <c r="D211" s="111"/>
      <c r="E211" s="135" t="s">
        <v>197</v>
      </c>
      <c r="N211" s="157"/>
      <c r="O211" s="156"/>
      <c r="P211" s="156"/>
      <c r="Q211" s="156"/>
      <c r="R211" s="156"/>
      <c r="S211" s="157"/>
      <c r="T211" s="156"/>
      <c r="U211" s="156"/>
      <c r="V211" s="157"/>
      <c r="W211" s="156"/>
      <c r="X211" s="156"/>
      <c r="Y211" s="157"/>
      <c r="Z211" s="157"/>
      <c r="AA211" s="157"/>
    </row>
    <row r="212">
      <c r="B212" s="133"/>
      <c r="C212" s="110" t="s">
        <v>75</v>
      </c>
      <c r="D212" s="111"/>
      <c r="E212" s="148" t="s">
        <v>76</v>
      </c>
      <c r="F212" s="78"/>
      <c r="N212" s="157"/>
      <c r="O212" s="156"/>
      <c r="P212" s="156"/>
      <c r="Q212" s="156"/>
      <c r="R212" s="156"/>
      <c r="S212" s="157"/>
      <c r="T212" s="156"/>
      <c r="U212" s="156"/>
      <c r="V212" s="157"/>
      <c r="W212" s="156"/>
      <c r="X212" s="156"/>
      <c r="Y212" s="157"/>
      <c r="Z212" s="157"/>
      <c r="AA212" s="157"/>
    </row>
    <row r="213">
      <c r="B213" s="133"/>
      <c r="C213" s="110" t="s">
        <v>77</v>
      </c>
      <c r="D213" s="111"/>
      <c r="E213" s="149" t="s">
        <v>102</v>
      </c>
      <c r="F213" s="78"/>
      <c r="N213" s="157"/>
      <c r="O213" s="156"/>
      <c r="P213" s="156"/>
      <c r="Q213" s="156"/>
      <c r="R213" s="156"/>
      <c r="S213" s="157"/>
      <c r="T213" s="156"/>
      <c r="U213" s="157"/>
      <c r="V213" s="157"/>
      <c r="W213" s="156"/>
      <c r="X213" s="156"/>
      <c r="Y213" s="157"/>
      <c r="Z213" s="157"/>
      <c r="AA213" s="157"/>
    </row>
    <row r="214">
      <c r="B214" s="133"/>
      <c r="C214" s="110" t="s">
        <v>79</v>
      </c>
      <c r="D214" s="111"/>
      <c r="E214" s="150" t="s">
        <v>178</v>
      </c>
      <c r="F214" s="115"/>
      <c r="O214" s="157"/>
      <c r="P214" s="156"/>
      <c r="Q214" s="157"/>
      <c r="R214" s="157"/>
      <c r="S214" s="157"/>
      <c r="T214" s="157"/>
      <c r="U214" s="157"/>
    </row>
    <row r="215">
      <c r="B215" s="133"/>
      <c r="C215" s="139" t="s">
        <v>81</v>
      </c>
      <c r="D215" s="111"/>
      <c r="E215" s="140" t="s">
        <v>126</v>
      </c>
      <c r="F215" s="5"/>
    </row>
    <row r="216">
      <c r="B216" s="133"/>
      <c r="C216" s="139" t="s">
        <v>82</v>
      </c>
      <c r="D216" s="111"/>
      <c r="E216" s="151" t="s">
        <v>102</v>
      </c>
      <c r="F216" s="5"/>
    </row>
    <row r="217">
      <c r="B217" s="133"/>
      <c r="C217" s="139" t="s">
        <v>83</v>
      </c>
      <c r="D217" s="111"/>
      <c r="E217" s="142" t="s">
        <v>115</v>
      </c>
      <c r="F217" s="5"/>
      <c r="O217" s="156"/>
      <c r="P217" s="156"/>
      <c r="Q217" s="156"/>
      <c r="R217" s="156"/>
      <c r="S217" s="156"/>
      <c r="T217" s="156"/>
      <c r="U217" s="156"/>
    </row>
    <row r="218">
      <c r="B218" s="133"/>
      <c r="C218" s="110" t="s">
        <v>84</v>
      </c>
      <c r="D218" s="111"/>
      <c r="E218" s="155" t="s">
        <v>198</v>
      </c>
      <c r="O218" s="157"/>
      <c r="P218" s="156"/>
      <c r="Q218" s="157"/>
      <c r="R218" s="157"/>
      <c r="S218" s="157"/>
      <c r="T218" s="157"/>
      <c r="U218" s="157"/>
    </row>
    <row r="219">
      <c r="B219" s="133"/>
      <c r="C219" s="110" t="s">
        <v>86</v>
      </c>
      <c r="D219" s="111"/>
      <c r="E219" s="155" t="s">
        <v>199</v>
      </c>
      <c r="O219" s="157"/>
      <c r="P219" s="156"/>
      <c r="Q219" s="157"/>
      <c r="R219" s="157"/>
      <c r="S219" s="157"/>
      <c r="T219" s="157"/>
      <c r="U219" s="157"/>
    </row>
    <row r="220">
      <c r="B220" s="133"/>
      <c r="C220" s="139" t="s">
        <v>88</v>
      </c>
      <c r="D220" s="111"/>
      <c r="E220" s="143" t="s">
        <v>200</v>
      </c>
      <c r="O220" s="157"/>
      <c r="P220" s="156"/>
      <c r="Q220" s="157"/>
      <c r="R220" s="157"/>
      <c r="S220" s="157"/>
      <c r="T220" s="157"/>
      <c r="U220" s="157"/>
    </row>
    <row r="221">
      <c r="B221" s="133"/>
      <c r="C221" s="139" t="s">
        <v>90</v>
      </c>
      <c r="D221" s="111"/>
      <c r="E221" s="143" t="s">
        <v>201</v>
      </c>
      <c r="O221" s="157"/>
      <c r="P221" s="156"/>
      <c r="Q221" s="157"/>
      <c r="R221" s="157"/>
      <c r="S221" s="157"/>
      <c r="T221" s="157"/>
      <c r="U221" s="157"/>
    </row>
    <row r="222">
      <c r="B222" s="133"/>
      <c r="C222" s="110" t="s">
        <v>92</v>
      </c>
      <c r="D222" s="111"/>
      <c r="E222" s="143" t="s">
        <v>108</v>
      </c>
      <c r="O222" s="157"/>
      <c r="P222" s="156"/>
      <c r="Q222" s="157"/>
      <c r="R222" s="157"/>
      <c r="S222" s="157"/>
      <c r="T222" s="157"/>
      <c r="U222" s="157"/>
    </row>
    <row r="223">
      <c r="B223" s="133"/>
      <c r="C223" s="110" t="s">
        <v>94</v>
      </c>
      <c r="D223" s="111"/>
      <c r="E223" s="121" t="s">
        <v>202</v>
      </c>
    </row>
    <row r="224">
      <c r="B224" s="133"/>
      <c r="C224" s="122" t="s">
        <v>96</v>
      </c>
      <c r="D224" s="123"/>
      <c r="E224" s="135" t="s">
        <v>97</v>
      </c>
    </row>
    <row r="225">
      <c r="O225" s="156"/>
      <c r="P225" s="156"/>
      <c r="Q225" s="156"/>
      <c r="R225" s="156"/>
      <c r="S225" s="156"/>
      <c r="T225" s="156"/>
      <c r="U225" s="156"/>
    </row>
    <row r="226">
      <c r="B226" s="158" t="s">
        <v>203</v>
      </c>
      <c r="C226" s="107" t="s">
        <v>58</v>
      </c>
      <c r="D226" s="108"/>
      <c r="E226" s="109" t="s">
        <v>204</v>
      </c>
      <c r="O226" s="157"/>
      <c r="P226" s="156"/>
      <c r="Q226" s="157"/>
      <c r="R226" s="157"/>
      <c r="S226" s="157"/>
      <c r="T226" s="157"/>
      <c r="U226" s="157"/>
    </row>
    <row r="227">
      <c r="B227" s="133"/>
      <c r="C227" s="110" t="s">
        <v>72</v>
      </c>
      <c r="D227" s="111"/>
      <c r="E227" s="78" t="s">
        <v>205</v>
      </c>
      <c r="O227" s="157"/>
      <c r="P227" s="156"/>
      <c r="Q227" s="157"/>
      <c r="R227" s="157"/>
      <c r="S227" s="157"/>
      <c r="T227" s="157"/>
      <c r="U227" s="157"/>
    </row>
    <row r="228">
      <c r="B228" s="133"/>
      <c r="C228" s="110" t="s">
        <v>73</v>
      </c>
      <c r="D228" s="111"/>
      <c r="E228" s="78" t="s">
        <v>206</v>
      </c>
      <c r="O228" s="157"/>
      <c r="P228" s="156"/>
      <c r="Q228" s="157"/>
      <c r="R228" s="157"/>
      <c r="S228" s="157"/>
      <c r="T228" s="157"/>
      <c r="U228" s="157"/>
    </row>
    <row r="229">
      <c r="B229" s="133"/>
      <c r="C229" s="110" t="s">
        <v>75</v>
      </c>
      <c r="D229" s="111"/>
      <c r="E229" s="159" t="s">
        <v>101</v>
      </c>
      <c r="F229" s="78"/>
    </row>
    <row r="230">
      <c r="B230" s="133"/>
      <c r="C230" s="110" t="s">
        <v>77</v>
      </c>
      <c r="D230" s="111"/>
      <c r="E230" s="113" t="s">
        <v>78</v>
      </c>
      <c r="F230" s="78"/>
    </row>
    <row r="231">
      <c r="B231" s="133"/>
      <c r="C231" s="110" t="s">
        <v>79</v>
      </c>
      <c r="D231" s="111"/>
      <c r="E231" s="119" t="s">
        <v>178</v>
      </c>
      <c r="F231" s="115"/>
    </row>
    <row r="232">
      <c r="B232" s="133"/>
      <c r="C232" s="139" t="s">
        <v>81</v>
      </c>
      <c r="D232" s="111"/>
      <c r="E232" s="132" t="s">
        <v>126</v>
      </c>
      <c r="F232" s="5"/>
    </row>
    <row r="233">
      <c r="B233" s="133"/>
      <c r="C233" s="139" t="s">
        <v>82</v>
      </c>
      <c r="D233" s="111"/>
      <c r="E233" s="118" t="s">
        <v>78</v>
      </c>
      <c r="F233" s="5"/>
    </row>
    <row r="234">
      <c r="B234" s="133"/>
      <c r="C234" s="139" t="s">
        <v>83</v>
      </c>
      <c r="D234" s="111"/>
      <c r="E234" s="128" t="s">
        <v>127</v>
      </c>
      <c r="F234" s="5"/>
    </row>
    <row r="235">
      <c r="B235" s="133"/>
      <c r="C235" s="110" t="s">
        <v>84</v>
      </c>
      <c r="D235" s="111"/>
      <c r="E235" s="78" t="s">
        <v>207</v>
      </c>
    </row>
    <row r="236">
      <c r="B236" s="133"/>
      <c r="C236" s="110" t="s">
        <v>86</v>
      </c>
      <c r="D236" s="111"/>
      <c r="E236" s="135" t="s">
        <v>208</v>
      </c>
    </row>
    <row r="237">
      <c r="B237" s="133"/>
      <c r="C237" s="139" t="s">
        <v>88</v>
      </c>
      <c r="D237" s="111"/>
      <c r="E237" s="143" t="s">
        <v>209</v>
      </c>
    </row>
    <row r="238">
      <c r="B238" s="133"/>
      <c r="C238" s="139" t="s">
        <v>90</v>
      </c>
      <c r="D238" s="111"/>
      <c r="E238" s="143" t="s">
        <v>210</v>
      </c>
    </row>
    <row r="239">
      <c r="B239" s="133"/>
      <c r="C239" s="110" t="s">
        <v>92</v>
      </c>
      <c r="D239" s="111"/>
      <c r="E239" s="143" t="s">
        <v>211</v>
      </c>
    </row>
    <row r="240">
      <c r="B240" s="133"/>
      <c r="C240" s="110" t="s">
        <v>94</v>
      </c>
      <c r="D240" s="111"/>
      <c r="E240" s="135" t="s">
        <v>212</v>
      </c>
    </row>
    <row r="241">
      <c r="B241" s="133"/>
      <c r="C241" s="122" t="s">
        <v>96</v>
      </c>
      <c r="D241" s="123"/>
      <c r="E241" s="78" t="s">
        <v>213</v>
      </c>
    </row>
    <row r="243">
      <c r="B243" s="158" t="s">
        <v>214</v>
      </c>
      <c r="C243" s="107" t="s">
        <v>58</v>
      </c>
      <c r="D243" s="108"/>
      <c r="E243" s="130" t="s">
        <v>52</v>
      </c>
    </row>
    <row r="244">
      <c r="B244" s="131"/>
      <c r="C244" s="110" t="s">
        <v>72</v>
      </c>
      <c r="D244" s="111"/>
      <c r="E244" s="120" t="s">
        <v>215</v>
      </c>
    </row>
    <row r="245">
      <c r="B245" s="131"/>
      <c r="C245" s="110" t="s">
        <v>73</v>
      </c>
      <c r="D245" s="111"/>
      <c r="E245" s="120" t="s">
        <v>216</v>
      </c>
    </row>
    <row r="246">
      <c r="B246" s="131"/>
      <c r="C246" s="110" t="s">
        <v>75</v>
      </c>
      <c r="D246" s="111"/>
      <c r="E246" s="160" t="s">
        <v>126</v>
      </c>
      <c r="F246" s="78"/>
    </row>
    <row r="247">
      <c r="B247" s="131"/>
      <c r="C247" s="110" t="s">
        <v>77</v>
      </c>
      <c r="D247" s="111"/>
      <c r="E247" s="144" t="s">
        <v>156</v>
      </c>
      <c r="F247" s="78"/>
    </row>
    <row r="248">
      <c r="B248" s="131"/>
      <c r="C248" s="110" t="s">
        <v>79</v>
      </c>
      <c r="D248" s="111"/>
      <c r="E248" s="161" t="s">
        <v>217</v>
      </c>
      <c r="F248" s="115"/>
    </row>
    <row r="249">
      <c r="B249" s="131"/>
      <c r="C249" s="116" t="s">
        <v>81</v>
      </c>
      <c r="D249" s="111"/>
      <c r="E249" s="145" t="s">
        <v>166</v>
      </c>
      <c r="F249" s="5"/>
    </row>
    <row r="250">
      <c r="B250" s="131"/>
      <c r="C250" s="116" t="s">
        <v>82</v>
      </c>
      <c r="D250" s="111"/>
      <c r="E250" s="146" t="s">
        <v>156</v>
      </c>
      <c r="F250" s="5"/>
    </row>
    <row r="251">
      <c r="B251" s="131"/>
      <c r="C251" s="116" t="s">
        <v>83</v>
      </c>
      <c r="D251" s="111"/>
      <c r="E251" s="128" t="s">
        <v>167</v>
      </c>
      <c r="F251" s="5"/>
    </row>
    <row r="252">
      <c r="B252" s="131"/>
      <c r="C252" s="110" t="s">
        <v>84</v>
      </c>
      <c r="D252" s="111"/>
      <c r="E252" s="120" t="s">
        <v>218</v>
      </c>
    </row>
    <row r="253">
      <c r="B253" s="131"/>
      <c r="C253" s="110" t="s">
        <v>86</v>
      </c>
      <c r="D253" s="111"/>
      <c r="E253" s="120" t="s">
        <v>219</v>
      </c>
    </row>
    <row r="254">
      <c r="B254" s="131"/>
      <c r="C254" s="116" t="s">
        <v>88</v>
      </c>
      <c r="D254" s="111"/>
      <c r="E254" s="121" t="s">
        <v>220</v>
      </c>
    </row>
    <row r="255">
      <c r="B255" s="131"/>
      <c r="C255" s="116" t="s">
        <v>90</v>
      </c>
      <c r="D255" s="111"/>
      <c r="E255" s="121" t="s">
        <v>221</v>
      </c>
    </row>
    <row r="256">
      <c r="B256" s="131"/>
      <c r="C256" s="110" t="s">
        <v>92</v>
      </c>
      <c r="D256" s="111"/>
      <c r="E256" s="121" t="s">
        <v>108</v>
      </c>
    </row>
    <row r="257">
      <c r="B257" s="131"/>
      <c r="C257" s="110" t="s">
        <v>94</v>
      </c>
      <c r="D257" s="111"/>
      <c r="E257" s="120" t="s">
        <v>222</v>
      </c>
    </row>
    <row r="258">
      <c r="B258" s="131"/>
      <c r="C258" s="122" t="s">
        <v>96</v>
      </c>
      <c r="D258" s="123"/>
      <c r="E258" s="78" t="s">
        <v>143</v>
      </c>
    </row>
    <row r="260">
      <c r="B260" s="158" t="s">
        <v>223</v>
      </c>
      <c r="C260" s="107" t="s">
        <v>58</v>
      </c>
      <c r="D260" s="108"/>
      <c r="E260" s="134" t="s">
        <v>224</v>
      </c>
    </row>
    <row r="261">
      <c r="B261" s="133"/>
      <c r="C261" s="110" t="s">
        <v>72</v>
      </c>
      <c r="D261" s="111"/>
      <c r="E261" s="135" t="s">
        <v>124</v>
      </c>
    </row>
    <row r="262">
      <c r="B262" s="133"/>
      <c r="C262" s="110" t="s">
        <v>73</v>
      </c>
      <c r="D262" s="111"/>
      <c r="E262" s="135" t="s">
        <v>225</v>
      </c>
      <c r="H262" s="156"/>
    </row>
    <row r="263">
      <c r="B263" s="133"/>
      <c r="C263" s="110" t="s">
        <v>75</v>
      </c>
      <c r="D263" s="111"/>
      <c r="E263" s="140" t="s">
        <v>126</v>
      </c>
      <c r="F263" s="78"/>
      <c r="H263" s="156"/>
    </row>
    <row r="264">
      <c r="B264" s="133"/>
      <c r="C264" s="110" t="s">
        <v>77</v>
      </c>
      <c r="D264" s="111"/>
      <c r="E264" s="144" t="s">
        <v>156</v>
      </c>
      <c r="F264" s="78"/>
      <c r="H264" s="156"/>
    </row>
    <row r="265">
      <c r="B265" s="133"/>
      <c r="C265" s="110" t="s">
        <v>79</v>
      </c>
      <c r="D265" s="111"/>
      <c r="E265" s="162" t="s">
        <v>217</v>
      </c>
      <c r="F265" s="115"/>
      <c r="H265" s="156"/>
    </row>
    <row r="266">
      <c r="B266" s="133"/>
      <c r="C266" s="139" t="s">
        <v>81</v>
      </c>
      <c r="D266" s="111"/>
      <c r="E266" s="145" t="s">
        <v>166</v>
      </c>
      <c r="F266" s="5"/>
      <c r="H266" s="156"/>
    </row>
    <row r="267">
      <c r="B267" s="133"/>
      <c r="C267" s="139" t="s">
        <v>82</v>
      </c>
      <c r="D267" s="111"/>
      <c r="E267" s="146" t="s">
        <v>156</v>
      </c>
      <c r="F267" s="5"/>
      <c r="H267" s="156"/>
    </row>
    <row r="268">
      <c r="B268" s="133"/>
      <c r="C268" s="139" t="s">
        <v>83</v>
      </c>
      <c r="D268" s="111"/>
      <c r="E268" s="128" t="s">
        <v>167</v>
      </c>
      <c r="F268" s="5"/>
      <c r="H268" s="156"/>
    </row>
    <row r="269">
      <c r="B269" s="133"/>
      <c r="C269" s="110" t="s">
        <v>84</v>
      </c>
      <c r="D269" s="111"/>
      <c r="E269" s="135" t="s">
        <v>226</v>
      </c>
      <c r="H269" s="156"/>
    </row>
    <row r="270">
      <c r="B270" s="133"/>
      <c r="C270" s="110" t="s">
        <v>86</v>
      </c>
      <c r="D270" s="111"/>
      <c r="E270" s="135" t="s">
        <v>227</v>
      </c>
      <c r="H270" s="156"/>
    </row>
    <row r="271">
      <c r="B271" s="133"/>
      <c r="C271" s="139" t="s">
        <v>88</v>
      </c>
      <c r="D271" s="111"/>
      <c r="E271" s="143" t="s">
        <v>228</v>
      </c>
      <c r="H271" s="156"/>
    </row>
    <row r="272">
      <c r="B272" s="133"/>
      <c r="C272" s="139" t="s">
        <v>90</v>
      </c>
      <c r="D272" s="111"/>
      <c r="E272" s="143" t="s">
        <v>229</v>
      </c>
      <c r="H272" s="156"/>
      <c r="I272" s="156"/>
    </row>
    <row r="273">
      <c r="B273" s="133"/>
      <c r="C273" s="110" t="s">
        <v>92</v>
      </c>
      <c r="D273" s="111"/>
      <c r="E273" s="143" t="s">
        <v>132</v>
      </c>
      <c r="H273" s="156"/>
      <c r="I273" s="156"/>
    </row>
    <row r="274">
      <c r="B274" s="133"/>
      <c r="C274" s="110" t="s">
        <v>94</v>
      </c>
      <c r="D274" s="111"/>
      <c r="E274" s="135" t="s">
        <v>230</v>
      </c>
      <c r="H274" s="156"/>
      <c r="I274" s="156"/>
    </row>
    <row r="275">
      <c r="B275" s="133"/>
      <c r="C275" s="122" t="s">
        <v>96</v>
      </c>
      <c r="D275" s="123"/>
      <c r="E275" s="135" t="s">
        <v>143</v>
      </c>
      <c r="H275" s="156"/>
      <c r="I275" s="156"/>
    </row>
    <row r="277">
      <c r="B277" s="158" t="s">
        <v>231</v>
      </c>
      <c r="C277" s="107" t="s">
        <v>58</v>
      </c>
      <c r="D277" s="108"/>
      <c r="E277" s="134" t="s">
        <v>232</v>
      </c>
      <c r="F277" s="133"/>
      <c r="H277" s="156"/>
    </row>
    <row r="278">
      <c r="B278" s="133"/>
      <c r="C278" s="110" t="s">
        <v>72</v>
      </c>
      <c r="D278" s="111"/>
      <c r="E278" s="78" t="s">
        <v>233</v>
      </c>
      <c r="F278" s="133"/>
      <c r="H278" s="156"/>
    </row>
    <row r="279">
      <c r="B279" s="133"/>
      <c r="C279" s="110" t="s">
        <v>73</v>
      </c>
      <c r="D279" s="111"/>
      <c r="E279" s="135" t="s">
        <v>234</v>
      </c>
      <c r="F279" s="133"/>
      <c r="H279" s="156"/>
    </row>
    <row r="280">
      <c r="B280" s="133"/>
      <c r="C280" s="110" t="s">
        <v>75</v>
      </c>
      <c r="D280" s="111"/>
      <c r="E280" s="160" t="s">
        <v>126</v>
      </c>
      <c r="F280" s="133"/>
      <c r="H280" s="156"/>
    </row>
    <row r="281">
      <c r="B281" s="133"/>
      <c r="C281" s="110" t="s">
        <v>77</v>
      </c>
      <c r="D281" s="111"/>
      <c r="E281" s="144" t="s">
        <v>156</v>
      </c>
      <c r="F281" s="133"/>
    </row>
    <row r="282">
      <c r="B282" s="133"/>
      <c r="C282" s="110" t="s">
        <v>79</v>
      </c>
      <c r="D282" s="111"/>
      <c r="E282" s="161" t="s">
        <v>217</v>
      </c>
      <c r="F282" s="133"/>
      <c r="H282" s="156"/>
      <c r="I282" s="156"/>
    </row>
    <row r="283">
      <c r="B283" s="133"/>
      <c r="C283" s="139" t="s">
        <v>81</v>
      </c>
      <c r="D283" s="111"/>
      <c r="E283" s="145" t="s">
        <v>166</v>
      </c>
      <c r="F283" s="133"/>
      <c r="H283" s="156"/>
      <c r="I283" s="156"/>
    </row>
    <row r="284">
      <c r="B284" s="133"/>
      <c r="C284" s="139" t="s">
        <v>82</v>
      </c>
      <c r="D284" s="111"/>
      <c r="E284" s="146" t="s">
        <v>156</v>
      </c>
      <c r="F284" s="133"/>
      <c r="H284" s="156"/>
      <c r="I284" s="156"/>
    </row>
    <row r="285">
      <c r="B285" s="133"/>
      <c r="C285" s="139" t="s">
        <v>83</v>
      </c>
      <c r="D285" s="111"/>
      <c r="E285" s="128" t="s">
        <v>167</v>
      </c>
      <c r="F285" s="133"/>
      <c r="H285" s="156"/>
      <c r="I285" s="156"/>
    </row>
    <row r="286">
      <c r="B286" s="133"/>
      <c r="C286" s="110" t="s">
        <v>84</v>
      </c>
      <c r="D286" s="111"/>
      <c r="E286" s="135" t="s">
        <v>235</v>
      </c>
      <c r="F286" s="133"/>
      <c r="H286" s="156"/>
      <c r="I286" s="156"/>
    </row>
    <row r="287">
      <c r="B287" s="133"/>
      <c r="C287" s="110" t="s">
        <v>86</v>
      </c>
      <c r="D287" s="111"/>
      <c r="E287" s="135" t="s">
        <v>236</v>
      </c>
      <c r="F287" s="133"/>
    </row>
    <row r="288">
      <c r="B288" s="133"/>
      <c r="C288" s="139" t="s">
        <v>88</v>
      </c>
      <c r="D288" s="111"/>
      <c r="E288" s="143" t="s">
        <v>237</v>
      </c>
      <c r="F288" s="133"/>
    </row>
    <row r="289">
      <c r="B289" s="133"/>
      <c r="C289" s="139" t="s">
        <v>90</v>
      </c>
      <c r="D289" s="111"/>
      <c r="E289" s="143" t="s">
        <v>238</v>
      </c>
      <c r="F289" s="133"/>
    </row>
    <row r="290">
      <c r="B290" s="133"/>
      <c r="C290" s="110" t="s">
        <v>92</v>
      </c>
      <c r="D290" s="111"/>
      <c r="E290" s="121" t="s">
        <v>120</v>
      </c>
      <c r="F290" s="133"/>
    </row>
    <row r="291">
      <c r="B291" s="133"/>
      <c r="C291" s="110" t="s">
        <v>94</v>
      </c>
      <c r="D291" s="111"/>
      <c r="E291" s="135" t="s">
        <v>239</v>
      </c>
      <c r="F291" s="133"/>
    </row>
    <row r="292">
      <c r="B292" s="133"/>
      <c r="C292" s="122" t="s">
        <v>96</v>
      </c>
      <c r="D292" s="123"/>
      <c r="E292" s="78" t="s">
        <v>240</v>
      </c>
      <c r="F292" s="133"/>
    </row>
    <row r="294">
      <c r="B294" s="158" t="s">
        <v>241</v>
      </c>
      <c r="C294" s="107" t="s">
        <v>58</v>
      </c>
      <c r="D294" s="108"/>
      <c r="E294" s="134" t="s">
        <v>242</v>
      </c>
    </row>
    <row r="295">
      <c r="B295" s="133"/>
      <c r="C295" s="110" t="s">
        <v>72</v>
      </c>
      <c r="D295" s="111"/>
      <c r="E295" s="135" t="s">
        <v>124</v>
      </c>
    </row>
    <row r="296">
      <c r="B296" s="133"/>
      <c r="C296" s="110" t="s">
        <v>73</v>
      </c>
      <c r="D296" s="111"/>
      <c r="E296" s="135" t="s">
        <v>243</v>
      </c>
    </row>
    <row r="297">
      <c r="B297" s="133"/>
      <c r="C297" s="110" t="s">
        <v>75</v>
      </c>
      <c r="D297" s="111"/>
      <c r="E297" s="159" t="s">
        <v>101</v>
      </c>
      <c r="F297" s="78"/>
    </row>
    <row r="298">
      <c r="B298" s="133"/>
      <c r="C298" s="110" t="s">
        <v>77</v>
      </c>
      <c r="D298" s="111"/>
      <c r="E298" s="163" t="s">
        <v>102</v>
      </c>
      <c r="F298" s="78"/>
    </row>
    <row r="299">
      <c r="B299" s="133"/>
      <c r="C299" s="110" t="s">
        <v>79</v>
      </c>
      <c r="D299" s="111"/>
      <c r="E299" s="164" t="s">
        <v>103</v>
      </c>
      <c r="F299" s="115"/>
    </row>
    <row r="300">
      <c r="B300" s="133"/>
      <c r="C300" s="139" t="s">
        <v>81</v>
      </c>
      <c r="D300" s="111"/>
      <c r="E300" s="145" t="s">
        <v>166</v>
      </c>
      <c r="F300" s="5"/>
    </row>
    <row r="301">
      <c r="B301" s="133"/>
      <c r="C301" s="139" t="s">
        <v>82</v>
      </c>
      <c r="D301" s="111"/>
      <c r="E301" s="127" t="s">
        <v>102</v>
      </c>
      <c r="F301" s="5"/>
    </row>
    <row r="302">
      <c r="B302" s="133"/>
      <c r="C302" s="139" t="s">
        <v>83</v>
      </c>
      <c r="D302" s="111"/>
      <c r="E302" s="165" t="s">
        <v>244</v>
      </c>
      <c r="F302" s="5"/>
    </row>
    <row r="303">
      <c r="B303" s="133"/>
      <c r="C303" s="110" t="s">
        <v>84</v>
      </c>
      <c r="D303" s="111"/>
      <c r="E303" s="135" t="s">
        <v>245</v>
      </c>
    </row>
    <row r="304">
      <c r="B304" s="133"/>
      <c r="C304" s="110" t="s">
        <v>86</v>
      </c>
      <c r="D304" s="111"/>
      <c r="E304" s="135" t="s">
        <v>246</v>
      </c>
    </row>
    <row r="305">
      <c r="B305" s="133"/>
      <c r="C305" s="139" t="s">
        <v>88</v>
      </c>
      <c r="D305" s="111"/>
      <c r="E305" s="143" t="s">
        <v>247</v>
      </c>
    </row>
    <row r="306">
      <c r="B306" s="133"/>
      <c r="C306" s="139" t="s">
        <v>90</v>
      </c>
      <c r="D306" s="111"/>
      <c r="E306" s="143" t="s">
        <v>248</v>
      </c>
    </row>
    <row r="307">
      <c r="B307" s="133"/>
      <c r="C307" s="110" t="s">
        <v>92</v>
      </c>
      <c r="D307" s="111"/>
      <c r="E307" s="143" t="s">
        <v>132</v>
      </c>
    </row>
    <row r="308">
      <c r="B308" s="133"/>
      <c r="C308" s="110" t="s">
        <v>94</v>
      </c>
      <c r="D308" s="111"/>
      <c r="E308" s="135" t="s">
        <v>249</v>
      </c>
    </row>
    <row r="309">
      <c r="B309" s="133"/>
      <c r="C309" s="122" t="s">
        <v>96</v>
      </c>
      <c r="D309" s="123"/>
      <c r="E309" s="135" t="s">
        <v>143</v>
      </c>
    </row>
    <row r="311">
      <c r="B311" s="166" t="s">
        <v>250</v>
      </c>
      <c r="C311" s="107" t="s">
        <v>58</v>
      </c>
      <c r="D311" s="108"/>
      <c r="E311" s="134" t="s">
        <v>251</v>
      </c>
    </row>
    <row r="312">
      <c r="B312" s="133"/>
      <c r="C312" s="110" t="s">
        <v>72</v>
      </c>
      <c r="D312" s="111"/>
      <c r="E312" s="135" t="s">
        <v>47</v>
      </c>
    </row>
    <row r="313">
      <c r="B313" s="133"/>
      <c r="C313" s="110" t="s">
        <v>73</v>
      </c>
      <c r="D313" s="111"/>
      <c r="E313" s="135" t="s">
        <v>252</v>
      </c>
    </row>
    <row r="314">
      <c r="B314" s="133"/>
      <c r="C314" s="110" t="s">
        <v>75</v>
      </c>
      <c r="D314" s="111"/>
      <c r="E314" s="136" t="s">
        <v>101</v>
      </c>
      <c r="F314" s="78"/>
    </row>
    <row r="315">
      <c r="B315" s="133"/>
      <c r="C315" s="110" t="s">
        <v>77</v>
      </c>
      <c r="D315" s="111"/>
      <c r="E315" s="149" t="s">
        <v>102</v>
      </c>
      <c r="F315" s="78"/>
    </row>
    <row r="316">
      <c r="B316" s="133"/>
      <c r="C316" s="110" t="s">
        <v>79</v>
      </c>
      <c r="D316" s="111"/>
      <c r="E316" s="142" t="s">
        <v>103</v>
      </c>
      <c r="F316" s="115"/>
    </row>
    <row r="317">
      <c r="B317" s="133"/>
      <c r="C317" s="139" t="s">
        <v>81</v>
      </c>
      <c r="D317" s="111"/>
      <c r="E317" s="140" t="s">
        <v>126</v>
      </c>
      <c r="F317" s="5"/>
    </row>
    <row r="318">
      <c r="B318" s="133"/>
      <c r="C318" s="139" t="s">
        <v>82</v>
      </c>
      <c r="D318" s="111"/>
      <c r="E318" s="153" t="s">
        <v>188</v>
      </c>
      <c r="F318" s="5"/>
    </row>
    <row r="319">
      <c r="B319" s="133"/>
      <c r="C319" s="139" t="s">
        <v>83</v>
      </c>
      <c r="D319" s="111"/>
      <c r="E319" s="154" t="s">
        <v>189</v>
      </c>
      <c r="F319" s="5"/>
    </row>
    <row r="320">
      <c r="B320" s="133"/>
      <c r="C320" s="110" t="s">
        <v>84</v>
      </c>
      <c r="D320" s="111"/>
      <c r="E320" s="135" t="s">
        <v>253</v>
      </c>
    </row>
    <row r="321">
      <c r="B321" s="133"/>
      <c r="C321" s="110" t="s">
        <v>86</v>
      </c>
      <c r="D321" s="111"/>
      <c r="E321" s="135" t="s">
        <v>254</v>
      </c>
    </row>
    <row r="322">
      <c r="B322" s="133"/>
      <c r="C322" s="139" t="s">
        <v>88</v>
      </c>
      <c r="D322" s="111"/>
      <c r="E322" s="143" t="s">
        <v>255</v>
      </c>
    </row>
    <row r="323">
      <c r="B323" s="133"/>
      <c r="C323" s="139" t="s">
        <v>90</v>
      </c>
      <c r="D323" s="111"/>
      <c r="E323" s="143" t="s">
        <v>256</v>
      </c>
    </row>
    <row r="324">
      <c r="B324" s="133"/>
      <c r="C324" s="110" t="s">
        <v>92</v>
      </c>
      <c r="D324" s="111"/>
      <c r="E324" s="143" t="s">
        <v>108</v>
      </c>
    </row>
    <row r="325">
      <c r="B325" s="133"/>
      <c r="C325" s="110" t="s">
        <v>94</v>
      </c>
      <c r="D325" s="111"/>
      <c r="E325" s="135" t="s">
        <v>257</v>
      </c>
    </row>
    <row r="326">
      <c r="B326" s="133"/>
      <c r="C326" s="122" t="s">
        <v>96</v>
      </c>
      <c r="D326" s="123"/>
      <c r="E326" s="135" t="s">
        <v>97</v>
      </c>
    </row>
    <row r="328">
      <c r="B328" s="166" t="s">
        <v>258</v>
      </c>
      <c r="C328" s="107" t="s">
        <v>58</v>
      </c>
      <c r="D328" s="108"/>
      <c r="E328" s="134" t="s">
        <v>259</v>
      </c>
    </row>
    <row r="329">
      <c r="B329" s="133"/>
      <c r="C329" s="110" t="s">
        <v>72</v>
      </c>
      <c r="D329" s="111"/>
      <c r="E329" s="78" t="s">
        <v>260</v>
      </c>
    </row>
    <row r="330">
      <c r="B330" s="133"/>
      <c r="C330" s="110" t="s">
        <v>73</v>
      </c>
      <c r="D330" s="111"/>
      <c r="E330" s="135" t="s">
        <v>261</v>
      </c>
    </row>
    <row r="331">
      <c r="B331" s="133"/>
      <c r="C331" s="110" t="s">
        <v>75</v>
      </c>
      <c r="D331" s="111"/>
      <c r="E331" s="136" t="s">
        <v>101</v>
      </c>
      <c r="F331" s="78"/>
    </row>
    <row r="332">
      <c r="B332" s="133"/>
      <c r="C332" s="110" t="s">
        <v>77</v>
      </c>
      <c r="D332" s="111"/>
      <c r="E332" s="149" t="s">
        <v>102</v>
      </c>
      <c r="F332" s="78"/>
    </row>
    <row r="333">
      <c r="B333" s="133"/>
      <c r="C333" s="110" t="s">
        <v>79</v>
      </c>
      <c r="D333" s="111"/>
      <c r="E333" s="142" t="s">
        <v>103</v>
      </c>
      <c r="F333" s="115"/>
    </row>
    <row r="334">
      <c r="B334" s="133"/>
      <c r="C334" s="139" t="s">
        <v>81</v>
      </c>
      <c r="D334" s="111"/>
      <c r="E334" s="167" t="s">
        <v>166</v>
      </c>
      <c r="F334" s="5"/>
    </row>
    <row r="335">
      <c r="B335" s="133"/>
      <c r="C335" s="139" t="s">
        <v>82</v>
      </c>
      <c r="D335" s="111"/>
      <c r="E335" s="141" t="s">
        <v>78</v>
      </c>
      <c r="F335" s="5"/>
    </row>
    <row r="336">
      <c r="B336" s="133"/>
      <c r="C336" s="139" t="s">
        <v>83</v>
      </c>
      <c r="D336" s="111"/>
      <c r="E336" s="154" t="s">
        <v>189</v>
      </c>
      <c r="F336" s="5"/>
    </row>
    <row r="337">
      <c r="B337" s="133"/>
      <c r="C337" s="110" t="s">
        <v>84</v>
      </c>
      <c r="D337" s="111"/>
      <c r="E337" s="135" t="s">
        <v>262</v>
      </c>
    </row>
    <row r="338">
      <c r="B338" s="133"/>
      <c r="C338" s="110" t="s">
        <v>86</v>
      </c>
      <c r="D338" s="111"/>
      <c r="E338" s="135" t="s">
        <v>263</v>
      </c>
    </row>
    <row r="339">
      <c r="B339" s="133"/>
      <c r="C339" s="139" t="s">
        <v>88</v>
      </c>
      <c r="D339" s="111"/>
      <c r="E339" s="143" t="s">
        <v>264</v>
      </c>
    </row>
    <row r="340">
      <c r="B340" s="133"/>
      <c r="C340" s="139" t="s">
        <v>90</v>
      </c>
      <c r="D340" s="111"/>
      <c r="E340" s="143" t="s">
        <v>265</v>
      </c>
    </row>
    <row r="341">
      <c r="B341" s="133"/>
      <c r="C341" s="110" t="s">
        <v>92</v>
      </c>
      <c r="D341" s="111"/>
      <c r="E341" s="143" t="s">
        <v>120</v>
      </c>
    </row>
    <row r="342">
      <c r="B342" s="133"/>
      <c r="C342" s="110" t="s">
        <v>94</v>
      </c>
      <c r="D342" s="111"/>
      <c r="E342" s="135" t="s">
        <v>266</v>
      </c>
    </row>
    <row r="343">
      <c r="B343" s="133"/>
      <c r="C343" s="122" t="s">
        <v>96</v>
      </c>
      <c r="D343" s="123"/>
      <c r="E343" s="78" t="s">
        <v>97</v>
      </c>
    </row>
    <row r="345">
      <c r="B345" s="166" t="s">
        <v>267</v>
      </c>
      <c r="C345" s="107" t="s">
        <v>58</v>
      </c>
      <c r="D345" s="108"/>
      <c r="E345" s="134" t="s">
        <v>268</v>
      </c>
    </row>
    <row r="346">
      <c r="B346" s="133"/>
      <c r="C346" s="110" t="s">
        <v>72</v>
      </c>
      <c r="D346" s="111"/>
      <c r="E346" s="78" t="s">
        <v>260</v>
      </c>
    </row>
    <row r="347">
      <c r="B347" s="133"/>
      <c r="C347" s="110" t="s">
        <v>73</v>
      </c>
      <c r="D347" s="111"/>
      <c r="E347" s="135" t="s">
        <v>269</v>
      </c>
    </row>
    <row r="348">
      <c r="B348" s="133"/>
      <c r="C348" s="110" t="s">
        <v>75</v>
      </c>
      <c r="D348" s="111"/>
      <c r="E348" s="148" t="s">
        <v>76</v>
      </c>
      <c r="F348" s="78"/>
    </row>
    <row r="349">
      <c r="B349" s="133"/>
      <c r="C349" s="110" t="s">
        <v>77</v>
      </c>
      <c r="D349" s="111"/>
      <c r="E349" s="168" t="s">
        <v>188</v>
      </c>
      <c r="F349" s="78"/>
    </row>
    <row r="350">
      <c r="B350" s="133"/>
      <c r="C350" s="110" t="s">
        <v>79</v>
      </c>
      <c r="D350" s="111"/>
      <c r="E350" s="142" t="s">
        <v>127</v>
      </c>
      <c r="F350" s="115"/>
    </row>
    <row r="351">
      <c r="B351" s="133"/>
      <c r="C351" s="139" t="s">
        <v>81</v>
      </c>
      <c r="D351" s="111"/>
      <c r="E351" s="140" t="s">
        <v>126</v>
      </c>
      <c r="F351" s="5"/>
    </row>
    <row r="352">
      <c r="B352" s="133"/>
      <c r="C352" s="139" t="s">
        <v>82</v>
      </c>
      <c r="D352" s="111"/>
      <c r="E352" s="169" t="s">
        <v>270</v>
      </c>
      <c r="F352" s="5"/>
    </row>
    <row r="353">
      <c r="B353" s="133"/>
      <c r="C353" s="139" t="s">
        <v>83</v>
      </c>
      <c r="D353" s="111"/>
      <c r="E353" s="170" t="s">
        <v>271</v>
      </c>
      <c r="F353" s="5"/>
    </row>
    <row r="354">
      <c r="B354" s="133"/>
      <c r="C354" s="110" t="s">
        <v>84</v>
      </c>
      <c r="D354" s="111"/>
      <c r="E354" s="135" t="s">
        <v>272</v>
      </c>
    </row>
    <row r="355">
      <c r="B355" s="133"/>
      <c r="C355" s="110" t="s">
        <v>86</v>
      </c>
      <c r="D355" s="111"/>
      <c r="E355" s="135" t="s">
        <v>273</v>
      </c>
    </row>
    <row r="356">
      <c r="B356" s="133"/>
      <c r="C356" s="139" t="s">
        <v>88</v>
      </c>
      <c r="D356" s="111"/>
      <c r="E356" s="143" t="s">
        <v>274</v>
      </c>
    </row>
    <row r="357">
      <c r="B357" s="133"/>
      <c r="C357" s="139" t="s">
        <v>90</v>
      </c>
      <c r="D357" s="111"/>
      <c r="E357" s="143" t="s">
        <v>275</v>
      </c>
    </row>
    <row r="358">
      <c r="B358" s="133"/>
      <c r="C358" s="110" t="s">
        <v>92</v>
      </c>
      <c r="D358" s="111"/>
      <c r="E358" s="143" t="s">
        <v>108</v>
      </c>
    </row>
    <row r="359">
      <c r="B359" s="133"/>
      <c r="C359" s="110" t="s">
        <v>94</v>
      </c>
      <c r="D359" s="111"/>
      <c r="E359" s="135" t="s">
        <v>276</v>
      </c>
    </row>
    <row r="360">
      <c r="B360" s="133"/>
      <c r="C360" s="122" t="s">
        <v>96</v>
      </c>
      <c r="D360" s="123"/>
      <c r="E360" s="135" t="s">
        <v>97</v>
      </c>
    </row>
    <row r="362">
      <c r="B362" s="158" t="s">
        <v>277</v>
      </c>
      <c r="C362" s="107" t="s">
        <v>58</v>
      </c>
      <c r="D362" s="108"/>
      <c r="E362" s="130" t="s">
        <v>278</v>
      </c>
    </row>
    <row r="363">
      <c r="B363" s="131"/>
      <c r="C363" s="110" t="s">
        <v>72</v>
      </c>
      <c r="D363" s="111"/>
      <c r="E363" s="78" t="s">
        <v>124</v>
      </c>
    </row>
    <row r="364">
      <c r="B364" s="131"/>
      <c r="C364" s="110" t="s">
        <v>73</v>
      </c>
      <c r="D364" s="111"/>
      <c r="E364" s="120" t="s">
        <v>279</v>
      </c>
    </row>
    <row r="365">
      <c r="B365" s="131"/>
      <c r="C365" s="110" t="s">
        <v>75</v>
      </c>
      <c r="D365" s="111"/>
      <c r="E365" s="160" t="s">
        <v>126</v>
      </c>
      <c r="F365" s="78"/>
    </row>
    <row r="366">
      <c r="B366" s="131"/>
      <c r="C366" s="110" t="s">
        <v>77</v>
      </c>
      <c r="D366" s="111"/>
      <c r="E366" s="163" t="s">
        <v>102</v>
      </c>
      <c r="F366" s="78"/>
    </row>
    <row r="367">
      <c r="B367" s="131"/>
      <c r="C367" s="110" t="s">
        <v>79</v>
      </c>
      <c r="D367" s="111"/>
      <c r="E367" s="164" t="s">
        <v>115</v>
      </c>
      <c r="F367" s="115"/>
    </row>
    <row r="368">
      <c r="B368" s="131"/>
      <c r="C368" s="116" t="s">
        <v>81</v>
      </c>
      <c r="D368" s="111"/>
      <c r="E368" s="145" t="s">
        <v>166</v>
      </c>
      <c r="F368" s="5"/>
    </row>
    <row r="369">
      <c r="B369" s="131"/>
      <c r="C369" s="116" t="s">
        <v>82</v>
      </c>
      <c r="D369" s="111"/>
      <c r="E369" s="127" t="s">
        <v>102</v>
      </c>
      <c r="F369" s="5"/>
    </row>
    <row r="370">
      <c r="B370" s="131"/>
      <c r="C370" s="116" t="s">
        <v>83</v>
      </c>
      <c r="D370" s="111"/>
      <c r="E370" s="165" t="s">
        <v>244</v>
      </c>
      <c r="F370" s="5"/>
    </row>
    <row r="371">
      <c r="B371" s="131"/>
      <c r="C371" s="110" t="s">
        <v>84</v>
      </c>
      <c r="D371" s="111"/>
      <c r="E371" s="120" t="s">
        <v>280</v>
      </c>
    </row>
    <row r="372">
      <c r="B372" s="131"/>
      <c r="C372" s="110" t="s">
        <v>86</v>
      </c>
      <c r="D372" s="111"/>
      <c r="E372" s="120" t="s">
        <v>281</v>
      </c>
    </row>
    <row r="373">
      <c r="B373" s="131"/>
      <c r="C373" s="116" t="s">
        <v>88</v>
      </c>
      <c r="D373" s="111"/>
      <c r="E373" s="121" t="s">
        <v>282</v>
      </c>
    </row>
    <row r="374">
      <c r="B374" s="131"/>
      <c r="C374" s="116" t="s">
        <v>90</v>
      </c>
      <c r="D374" s="111"/>
      <c r="E374" s="121" t="s">
        <v>283</v>
      </c>
    </row>
    <row r="375">
      <c r="B375" s="131"/>
      <c r="C375" s="110" t="s">
        <v>92</v>
      </c>
      <c r="D375" s="111"/>
      <c r="E375" s="121" t="s">
        <v>132</v>
      </c>
    </row>
    <row r="376">
      <c r="B376" s="131"/>
      <c r="C376" s="110" t="s">
        <v>94</v>
      </c>
      <c r="D376" s="111"/>
      <c r="E376" s="120" t="s">
        <v>284</v>
      </c>
    </row>
    <row r="377">
      <c r="B377" s="131"/>
      <c r="C377" s="122" t="s">
        <v>96</v>
      </c>
      <c r="D377" s="123"/>
      <c r="E377" s="78" t="s">
        <v>143</v>
      </c>
    </row>
    <row r="379">
      <c r="B379" s="166" t="s">
        <v>285</v>
      </c>
      <c r="C379" s="107" t="s">
        <v>58</v>
      </c>
      <c r="D379" s="108"/>
      <c r="E379" s="134" t="s">
        <v>286</v>
      </c>
    </row>
    <row r="380">
      <c r="B380" s="133"/>
      <c r="C380" s="110" t="s">
        <v>72</v>
      </c>
      <c r="D380" s="111"/>
      <c r="E380" s="78" t="s">
        <v>287</v>
      </c>
      <c r="N380" s="133"/>
      <c r="O380" s="78" t="s">
        <v>288</v>
      </c>
      <c r="P380" s="133"/>
      <c r="Q380" s="133"/>
    </row>
    <row r="381">
      <c r="B381" s="133"/>
      <c r="C381" s="110" t="s">
        <v>73</v>
      </c>
      <c r="D381" s="111"/>
      <c r="E381" s="135" t="s">
        <v>289</v>
      </c>
      <c r="N381" s="133"/>
      <c r="O381" s="78" t="s">
        <v>290</v>
      </c>
      <c r="P381" s="133"/>
      <c r="Q381" s="133"/>
    </row>
    <row r="382">
      <c r="B382" s="133"/>
      <c r="C382" s="110" t="s">
        <v>75</v>
      </c>
      <c r="D382" s="111"/>
      <c r="E382" s="167" t="s">
        <v>166</v>
      </c>
      <c r="F382" s="78"/>
    </row>
    <row r="383">
      <c r="B383" s="133"/>
      <c r="C383" s="110" t="s">
        <v>77</v>
      </c>
      <c r="D383" s="111"/>
      <c r="E383" s="137" t="s">
        <v>156</v>
      </c>
      <c r="F383" s="78"/>
    </row>
    <row r="384">
      <c r="B384" s="133"/>
      <c r="C384" s="110" t="s">
        <v>79</v>
      </c>
      <c r="D384" s="111"/>
      <c r="E384" s="142" t="s">
        <v>167</v>
      </c>
      <c r="F384" s="115"/>
    </row>
    <row r="385">
      <c r="B385" s="133"/>
      <c r="C385" s="139" t="s">
        <v>81</v>
      </c>
      <c r="D385" s="111"/>
      <c r="E385" s="167" t="s">
        <v>166</v>
      </c>
      <c r="F385" s="5"/>
    </row>
    <row r="386">
      <c r="B386" s="133"/>
      <c r="C386" s="139" t="s">
        <v>82</v>
      </c>
      <c r="D386" s="111"/>
      <c r="E386" s="171" t="s">
        <v>156</v>
      </c>
      <c r="F386" s="5"/>
      <c r="G386" s="78"/>
      <c r="H386" s="133"/>
      <c r="I386" s="133"/>
      <c r="J386" s="133"/>
      <c r="K386" s="133"/>
      <c r="L386" s="133"/>
      <c r="M386" s="133"/>
    </row>
    <row r="387">
      <c r="B387" s="133"/>
      <c r="C387" s="139" t="s">
        <v>83</v>
      </c>
      <c r="D387" s="111"/>
      <c r="E387" s="142" t="s">
        <v>167</v>
      </c>
      <c r="F387" s="5"/>
      <c r="G387" s="78"/>
      <c r="H387" s="133"/>
      <c r="I387" s="133"/>
      <c r="J387" s="133"/>
      <c r="K387" s="133"/>
      <c r="L387" s="133"/>
      <c r="M387" s="133"/>
    </row>
    <row r="388">
      <c r="B388" s="133"/>
      <c r="C388" s="110" t="s">
        <v>84</v>
      </c>
      <c r="D388" s="111"/>
      <c r="E388" s="135" t="s">
        <v>291</v>
      </c>
      <c r="G388" s="78"/>
      <c r="H388" s="133"/>
      <c r="I388" s="133"/>
      <c r="J388" s="133"/>
      <c r="K388" s="133"/>
      <c r="L388" s="133"/>
      <c r="M388" s="133"/>
    </row>
    <row r="389">
      <c r="B389" s="133"/>
      <c r="C389" s="110" t="s">
        <v>86</v>
      </c>
      <c r="D389" s="111"/>
      <c r="E389" s="135" t="s">
        <v>292</v>
      </c>
      <c r="G389" s="78"/>
      <c r="H389" s="133"/>
      <c r="I389" s="133"/>
      <c r="J389" s="133"/>
      <c r="K389" s="133"/>
      <c r="L389" s="133"/>
      <c r="M389" s="133"/>
    </row>
    <row r="390">
      <c r="B390" s="133"/>
      <c r="C390" s="139" t="s">
        <v>88</v>
      </c>
      <c r="D390" s="111"/>
      <c r="E390" s="143" t="s">
        <v>293</v>
      </c>
      <c r="G390" s="78"/>
      <c r="H390" s="133"/>
      <c r="I390" s="133"/>
      <c r="J390" s="133"/>
      <c r="K390" s="133"/>
      <c r="L390" s="133"/>
      <c r="M390" s="133"/>
    </row>
    <row r="391">
      <c r="B391" s="133"/>
      <c r="C391" s="139" t="s">
        <v>90</v>
      </c>
      <c r="D391" s="111"/>
      <c r="E391" s="143" t="s">
        <v>294</v>
      </c>
      <c r="G391" s="78"/>
      <c r="H391" s="133"/>
      <c r="I391" s="133"/>
      <c r="J391" s="133"/>
      <c r="K391" s="133"/>
      <c r="L391" s="133"/>
      <c r="M391" s="133"/>
    </row>
    <row r="392">
      <c r="B392" s="133"/>
      <c r="C392" s="110" t="s">
        <v>92</v>
      </c>
      <c r="D392" s="111"/>
      <c r="E392" s="143" t="s">
        <v>183</v>
      </c>
      <c r="G392" s="78"/>
      <c r="H392" s="133"/>
      <c r="I392" s="133"/>
      <c r="J392" s="133"/>
      <c r="K392" s="133"/>
      <c r="L392" s="133"/>
      <c r="M392" s="133"/>
    </row>
    <row r="393">
      <c r="B393" s="133"/>
      <c r="C393" s="110" t="s">
        <v>94</v>
      </c>
      <c r="D393" s="111"/>
      <c r="E393" s="135" t="s">
        <v>295</v>
      </c>
      <c r="G393" s="78"/>
      <c r="H393" s="133"/>
      <c r="I393" s="133"/>
      <c r="J393" s="133"/>
      <c r="K393" s="133"/>
      <c r="L393" s="133"/>
      <c r="M393" s="133"/>
    </row>
    <row r="394">
      <c r="B394" s="133"/>
      <c r="C394" s="122" t="s">
        <v>96</v>
      </c>
      <c r="D394" s="123"/>
      <c r="E394" s="135" t="s">
        <v>143</v>
      </c>
      <c r="G394" s="133"/>
      <c r="H394" s="133"/>
      <c r="I394" s="133"/>
      <c r="J394" s="133"/>
      <c r="K394" s="133"/>
      <c r="L394" s="133"/>
      <c r="M394" s="133"/>
    </row>
    <row r="395">
      <c r="B395" s="109"/>
      <c r="C395" s="133"/>
      <c r="D395" s="133"/>
      <c r="E395" s="133"/>
      <c r="F395" s="133"/>
      <c r="G395" s="133"/>
      <c r="H395" s="133"/>
      <c r="I395" s="133"/>
      <c r="J395" s="133"/>
      <c r="K395" s="133"/>
      <c r="L395" s="133"/>
      <c r="M395" s="133"/>
    </row>
    <row r="396">
      <c r="B396" s="158" t="s">
        <v>296</v>
      </c>
      <c r="C396" s="107" t="s">
        <v>58</v>
      </c>
      <c r="D396" s="108"/>
      <c r="E396" s="134" t="s">
        <v>297</v>
      </c>
      <c r="G396" s="133"/>
      <c r="H396" s="133"/>
      <c r="I396" s="133"/>
      <c r="J396" s="133"/>
      <c r="K396" s="133"/>
      <c r="L396" s="133"/>
      <c r="M396" s="133"/>
    </row>
    <row r="397">
      <c r="B397" s="133"/>
      <c r="C397" s="110" t="s">
        <v>72</v>
      </c>
      <c r="D397" s="111"/>
      <c r="E397" s="78" t="s">
        <v>205</v>
      </c>
      <c r="G397" s="133"/>
      <c r="H397" s="133"/>
      <c r="I397" s="133"/>
      <c r="J397" s="133"/>
      <c r="K397" s="133"/>
      <c r="L397" s="133"/>
      <c r="M397" s="133"/>
    </row>
    <row r="398">
      <c r="B398" s="133"/>
      <c r="C398" s="110" t="s">
        <v>73</v>
      </c>
      <c r="D398" s="111"/>
      <c r="E398" s="135" t="s">
        <v>298</v>
      </c>
      <c r="G398" s="133"/>
      <c r="H398" s="133"/>
      <c r="I398" s="133"/>
      <c r="J398" s="133"/>
      <c r="K398" s="133"/>
      <c r="L398" s="133"/>
      <c r="M398" s="133"/>
    </row>
    <row r="399">
      <c r="B399" s="133"/>
      <c r="C399" s="110" t="s">
        <v>75</v>
      </c>
      <c r="D399" s="111"/>
      <c r="E399" s="145" t="s">
        <v>166</v>
      </c>
      <c r="F399" s="78"/>
      <c r="G399" s="133"/>
      <c r="H399" s="133"/>
      <c r="I399" s="133"/>
      <c r="J399" s="133"/>
      <c r="K399" s="133"/>
      <c r="L399" s="133"/>
      <c r="M399" s="133"/>
    </row>
    <row r="400">
      <c r="B400" s="133"/>
      <c r="C400" s="110" t="s">
        <v>77</v>
      </c>
      <c r="D400" s="111"/>
      <c r="E400" s="144" t="s">
        <v>156</v>
      </c>
      <c r="F400" s="78"/>
    </row>
    <row r="401">
      <c r="B401" s="133"/>
      <c r="C401" s="110" t="s">
        <v>79</v>
      </c>
      <c r="D401" s="111"/>
      <c r="E401" s="128" t="s">
        <v>167</v>
      </c>
      <c r="F401" s="115"/>
    </row>
    <row r="402">
      <c r="B402" s="133"/>
      <c r="C402" s="139" t="s">
        <v>81</v>
      </c>
      <c r="D402" s="111"/>
      <c r="E402" s="145" t="s">
        <v>166</v>
      </c>
      <c r="F402" s="5"/>
    </row>
    <row r="403">
      <c r="B403" s="133"/>
      <c r="C403" s="139" t="s">
        <v>82</v>
      </c>
      <c r="D403" s="111"/>
      <c r="E403" s="146" t="s">
        <v>156</v>
      </c>
      <c r="F403" s="5"/>
    </row>
    <row r="404">
      <c r="B404" s="133"/>
      <c r="C404" s="139" t="s">
        <v>83</v>
      </c>
      <c r="D404" s="111"/>
      <c r="E404" s="128" t="s">
        <v>167</v>
      </c>
      <c r="F404" s="5"/>
    </row>
    <row r="405">
      <c r="B405" s="133"/>
      <c r="C405" s="110" t="s">
        <v>84</v>
      </c>
      <c r="D405" s="111"/>
      <c r="E405" s="135" t="s">
        <v>299</v>
      </c>
    </row>
    <row r="406">
      <c r="B406" s="133"/>
      <c r="C406" s="110" t="s">
        <v>86</v>
      </c>
      <c r="D406" s="111"/>
      <c r="E406" s="135" t="s">
        <v>300</v>
      </c>
    </row>
    <row r="407">
      <c r="B407" s="133"/>
      <c r="C407" s="139" t="s">
        <v>88</v>
      </c>
      <c r="D407" s="111"/>
      <c r="E407" s="143" t="s">
        <v>301</v>
      </c>
    </row>
    <row r="408">
      <c r="B408" s="133"/>
      <c r="C408" s="139" t="s">
        <v>90</v>
      </c>
      <c r="D408" s="111"/>
      <c r="E408" s="143" t="s">
        <v>302</v>
      </c>
    </row>
    <row r="409">
      <c r="B409" s="133"/>
      <c r="C409" s="110" t="s">
        <v>92</v>
      </c>
      <c r="D409" s="111"/>
      <c r="E409" s="143" t="s">
        <v>172</v>
      </c>
    </row>
    <row r="410">
      <c r="B410" s="133"/>
      <c r="C410" s="110" t="s">
        <v>94</v>
      </c>
      <c r="D410" s="111"/>
      <c r="E410" s="135" t="s">
        <v>303</v>
      </c>
    </row>
    <row r="411">
      <c r="B411" s="133"/>
      <c r="C411" s="122" t="s">
        <v>96</v>
      </c>
      <c r="D411" s="123"/>
      <c r="E411" s="78" t="s">
        <v>143</v>
      </c>
    </row>
    <row r="413">
      <c r="B413" s="158" t="s">
        <v>304</v>
      </c>
      <c r="C413" s="107" t="s">
        <v>58</v>
      </c>
      <c r="D413" s="108"/>
      <c r="E413" s="134" t="s">
        <v>305</v>
      </c>
      <c r="G413" s="133"/>
    </row>
    <row r="414">
      <c r="B414" s="133"/>
      <c r="C414" s="110" t="s">
        <v>72</v>
      </c>
      <c r="D414" s="111"/>
      <c r="E414" s="78" t="s">
        <v>124</v>
      </c>
      <c r="G414" s="133"/>
    </row>
    <row r="415">
      <c r="B415" s="133"/>
      <c r="C415" s="110" t="s">
        <v>73</v>
      </c>
      <c r="D415" s="111"/>
      <c r="E415" s="135" t="s">
        <v>306</v>
      </c>
      <c r="G415" s="133"/>
    </row>
    <row r="416">
      <c r="B416" s="133"/>
      <c r="C416" s="110" t="s">
        <v>75</v>
      </c>
      <c r="D416" s="111"/>
      <c r="E416" s="140" t="s">
        <v>126</v>
      </c>
      <c r="F416" s="78"/>
      <c r="G416" s="133"/>
    </row>
    <row r="417">
      <c r="B417" s="133"/>
      <c r="C417" s="110" t="s">
        <v>77</v>
      </c>
      <c r="D417" s="111"/>
      <c r="E417" s="168" t="s">
        <v>188</v>
      </c>
      <c r="F417" s="78"/>
    </row>
    <row r="418">
      <c r="B418" s="133"/>
      <c r="C418" s="110" t="s">
        <v>79</v>
      </c>
      <c r="D418" s="111"/>
      <c r="E418" s="154" t="s">
        <v>189</v>
      </c>
      <c r="F418" s="115"/>
    </row>
    <row r="419">
      <c r="B419" s="133"/>
      <c r="C419" s="139" t="s">
        <v>81</v>
      </c>
      <c r="D419" s="111"/>
      <c r="E419" s="167" t="s">
        <v>166</v>
      </c>
      <c r="F419" s="5"/>
    </row>
    <row r="420">
      <c r="B420" s="133"/>
      <c r="C420" s="139" t="s">
        <v>82</v>
      </c>
      <c r="D420" s="111"/>
      <c r="E420" s="151" t="s">
        <v>102</v>
      </c>
      <c r="F420" s="5"/>
    </row>
    <row r="421">
      <c r="B421" s="133"/>
      <c r="C421" s="139" t="s">
        <v>83</v>
      </c>
      <c r="D421" s="111"/>
      <c r="E421" s="154" t="s">
        <v>244</v>
      </c>
      <c r="F421" s="5"/>
    </row>
    <row r="422">
      <c r="B422" s="133"/>
      <c r="C422" s="110" t="s">
        <v>84</v>
      </c>
      <c r="D422" s="111"/>
      <c r="E422" s="135" t="s">
        <v>307</v>
      </c>
    </row>
    <row r="423">
      <c r="B423" s="133"/>
      <c r="C423" s="110" t="s">
        <v>86</v>
      </c>
      <c r="D423" s="111"/>
      <c r="E423" s="135" t="s">
        <v>308</v>
      </c>
    </row>
    <row r="424">
      <c r="B424" s="133"/>
      <c r="C424" s="139" t="s">
        <v>88</v>
      </c>
      <c r="D424" s="111"/>
      <c r="E424" s="143" t="s">
        <v>309</v>
      </c>
    </row>
    <row r="425">
      <c r="B425" s="133"/>
      <c r="C425" s="139" t="s">
        <v>90</v>
      </c>
      <c r="D425" s="111"/>
      <c r="E425" s="143" t="s">
        <v>310</v>
      </c>
    </row>
    <row r="426">
      <c r="B426" s="133"/>
      <c r="C426" s="110" t="s">
        <v>92</v>
      </c>
      <c r="D426" s="111"/>
      <c r="E426" s="143" t="s">
        <v>108</v>
      </c>
    </row>
    <row r="427">
      <c r="B427" s="133"/>
      <c r="C427" s="110" t="s">
        <v>94</v>
      </c>
      <c r="D427" s="111"/>
      <c r="E427" s="135" t="s">
        <v>311</v>
      </c>
    </row>
    <row r="428">
      <c r="B428" s="133"/>
      <c r="C428" s="122" t="s">
        <v>96</v>
      </c>
      <c r="D428" s="123"/>
      <c r="E428" s="78" t="s">
        <v>143</v>
      </c>
    </row>
  </sheetData>
  <mergeCells count="373">
    <mergeCell ref="K2:L2"/>
    <mergeCell ref="B5:B9"/>
    <mergeCell ref="K12:L12"/>
    <mergeCell ref="K13:L13"/>
    <mergeCell ref="K14:L14"/>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5:D345"/>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3:D413"/>
    <mergeCell ref="C414:D414"/>
    <mergeCell ref="C415:D415"/>
    <mergeCell ref="C416:D416"/>
    <mergeCell ref="C417:D417"/>
    <mergeCell ref="C418:D418"/>
    <mergeCell ref="C419:D419"/>
    <mergeCell ref="C427:D427"/>
    <mergeCell ref="C428:D428"/>
    <mergeCell ref="C420:D420"/>
    <mergeCell ref="C421:D421"/>
    <mergeCell ref="C422:D422"/>
    <mergeCell ref="C423:D423"/>
    <mergeCell ref="C424:D424"/>
    <mergeCell ref="C425:D425"/>
    <mergeCell ref="C426:D426"/>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6:D396"/>
    <mergeCell ref="C397:D397"/>
  </mergeCells>
  <conditionalFormatting sqref="E5:I9">
    <cfRule type="colorScale" priority="1">
      <colorScale>
        <cfvo type="min"/>
        <cfvo type="percentile" val="50"/>
        <cfvo type="max"/>
        <color rgb="FF57BB8A"/>
        <color rgb="FFFFD666"/>
        <color rgb="FFE67C73"/>
      </colorScale>
    </cfRule>
  </conditionalFormatting>
  <conditionalFormatting sqref="K4:K9">
    <cfRule type="colorScale" priority="2">
      <colorScale>
        <cfvo type="min"/>
        <cfvo type="percentile" val="50"/>
        <cfvo type="max"/>
        <color rgb="FF57BB8A"/>
        <color rgb="FFFFD666"/>
        <color rgb="FFE67C73"/>
      </colorScale>
    </cfRule>
  </conditionalFormatting>
  <conditionalFormatting sqref="D5:D9">
    <cfRule type="colorScale" priority="3">
      <colorScale>
        <cfvo type="min"/>
        <cfvo type="percentile" val="50"/>
        <cfvo type="max"/>
        <color rgb="FF57BB8A"/>
        <color rgb="FFFFD666"/>
        <color rgb="FFE67C73"/>
      </colorScale>
    </cfRule>
  </conditionalFormatting>
  <conditionalFormatting sqref="E4:I4">
    <cfRule type="colorScale" priority="4">
      <colorScale>
        <cfvo type="min"/>
        <cfvo type="percentile" val="50"/>
        <cfvo type="max"/>
        <color rgb="FF57BB8A"/>
        <color rgb="FFFFD666"/>
        <color rgb="FFE67C73"/>
      </colorScale>
    </cfRule>
  </conditionalFormatting>
  <conditionalFormatting sqref="C13:C17 C21:C25">
    <cfRule type="colorScale" priority="5">
      <colorScale>
        <cfvo type="min"/>
        <cfvo type="percentile" val="50"/>
        <cfvo type="max"/>
        <color rgb="FF57BB8A"/>
        <color rgb="FFFFD666"/>
        <color rgb="FFE67C73"/>
      </colorScale>
    </cfRule>
  </conditionalFormatting>
  <printOptions gridLines="1" horizontalCentered="1"/>
  <pageMargins bottom="0.75" footer="0.0" header="0.0" left="0.7" right="0.7" top="0.75"/>
  <pageSetup fitToHeight="0" cellComments="atEnd" orientation="landscape" pageOrder="overThenDown"/>
  <drawing r:id="rId1"/>
</worksheet>
</file>